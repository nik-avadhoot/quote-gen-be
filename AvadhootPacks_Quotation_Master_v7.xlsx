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un\Desktop\Nikunj Work\ERP\LLM Experiments\Costing\Quotation-app-v2\quote-gen-be\"/>
    </mc:Choice>
  </mc:AlternateContent>
  <xr:revisionPtr revIDLastSave="0" documentId="13_ncr:1_{03B69EFA-7FCC-477A-B1C3-C9FEAB723EE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RATE MASTER" sheetId="1" r:id="rId1"/>
    <sheet name="DEFAULTS" sheetId="2" r:id="rId2"/>
    <sheet name="CBB+PP" sheetId="3" r:id="rId3"/>
    <sheet name="OFF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G12" i="1" s="1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BM50" i="3"/>
  <c r="BM49" i="3"/>
  <c r="BM48" i="3"/>
  <c r="BM47" i="3"/>
  <c r="BM46" i="3"/>
  <c r="BM45" i="3"/>
  <c r="BM44" i="3"/>
  <c r="BM43" i="3"/>
  <c r="BM42" i="3"/>
  <c r="BM41" i="3"/>
  <c r="BM40" i="3"/>
  <c r="BM39" i="3"/>
  <c r="BM38" i="3"/>
  <c r="BM37" i="3"/>
  <c r="BM36" i="3"/>
  <c r="BM35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H37" i="4" l="1"/>
  <c r="G37" i="4"/>
  <c r="E37" i="4"/>
  <c r="C37" i="4"/>
  <c r="B37" i="4"/>
  <c r="H36" i="4"/>
  <c r="G36" i="4"/>
  <c r="E36" i="4"/>
  <c r="C36" i="4"/>
  <c r="B36" i="4"/>
  <c r="H35" i="4"/>
  <c r="G35" i="4"/>
  <c r="E35" i="4"/>
  <c r="C35" i="4"/>
  <c r="B35" i="4"/>
  <c r="H34" i="4"/>
  <c r="G34" i="4"/>
  <c r="E34" i="4"/>
  <c r="C34" i="4"/>
  <c r="B34" i="4"/>
  <c r="H33" i="4"/>
  <c r="G33" i="4"/>
  <c r="E33" i="4"/>
  <c r="C33" i="4"/>
  <c r="B33" i="4"/>
  <c r="H32" i="4"/>
  <c r="G32" i="4"/>
  <c r="E32" i="4"/>
  <c r="C32" i="4"/>
  <c r="B32" i="4"/>
  <c r="H31" i="4"/>
  <c r="G31" i="4"/>
  <c r="E31" i="4"/>
  <c r="C31" i="4"/>
  <c r="B31" i="4"/>
  <c r="H30" i="4"/>
  <c r="G30" i="4"/>
  <c r="E30" i="4"/>
  <c r="C30" i="4"/>
  <c r="B30" i="4"/>
  <c r="H29" i="4"/>
  <c r="G29" i="4"/>
  <c r="E29" i="4"/>
  <c r="C29" i="4"/>
  <c r="B29" i="4"/>
  <c r="H28" i="4"/>
  <c r="G28" i="4"/>
  <c r="E28" i="4"/>
  <c r="C28" i="4"/>
  <c r="B28" i="4"/>
  <c r="H27" i="4"/>
  <c r="G27" i="4"/>
  <c r="E27" i="4"/>
  <c r="C27" i="4"/>
  <c r="B27" i="4"/>
  <c r="H26" i="4"/>
  <c r="G26" i="4"/>
  <c r="E26" i="4"/>
  <c r="C26" i="4"/>
  <c r="B26" i="4"/>
  <c r="H25" i="4"/>
  <c r="G25" i="4"/>
  <c r="E25" i="4"/>
  <c r="C25" i="4"/>
  <c r="B25" i="4"/>
  <c r="H24" i="4"/>
  <c r="G24" i="4"/>
  <c r="E24" i="4"/>
  <c r="C24" i="4"/>
  <c r="B24" i="4"/>
  <c r="H23" i="4"/>
  <c r="G23" i="4"/>
  <c r="E23" i="4"/>
  <c r="C23" i="4"/>
  <c r="B23" i="4"/>
  <c r="H22" i="4"/>
  <c r="G22" i="4"/>
  <c r="E22" i="4"/>
  <c r="C22" i="4"/>
  <c r="B22" i="4"/>
  <c r="H21" i="4"/>
  <c r="G21" i="4"/>
  <c r="E21" i="4"/>
  <c r="C21" i="4"/>
  <c r="B21" i="4"/>
  <c r="H20" i="4"/>
  <c r="G20" i="4"/>
  <c r="E20" i="4"/>
  <c r="C20" i="4"/>
  <c r="B20" i="4"/>
  <c r="H19" i="4"/>
  <c r="G19" i="4"/>
  <c r="E19" i="4"/>
  <c r="C19" i="4"/>
  <c r="B19" i="4"/>
  <c r="H18" i="4"/>
  <c r="G18" i="4"/>
  <c r="E18" i="4"/>
  <c r="C18" i="4"/>
  <c r="B18" i="4"/>
  <c r="H17" i="4"/>
  <c r="G17" i="4"/>
  <c r="E17" i="4"/>
  <c r="C17" i="4"/>
  <c r="B17" i="4"/>
  <c r="H16" i="4"/>
  <c r="G16" i="4"/>
  <c r="E16" i="4"/>
  <c r="C16" i="4"/>
  <c r="B16" i="4"/>
  <c r="H15" i="4"/>
  <c r="G15" i="4"/>
  <c r="E15" i="4"/>
  <c r="C15" i="4"/>
  <c r="B15" i="4"/>
  <c r="H14" i="4"/>
  <c r="G14" i="4"/>
  <c r="E14" i="4"/>
  <c r="C14" i="4"/>
  <c r="B14" i="4"/>
  <c r="H13" i="4"/>
  <c r="G13" i="4"/>
  <c r="E13" i="4"/>
  <c r="C13" i="4"/>
  <c r="B13" i="4"/>
  <c r="H12" i="4"/>
  <c r="G12" i="4"/>
  <c r="E12" i="4"/>
  <c r="C12" i="4"/>
  <c r="B12" i="4"/>
  <c r="H11" i="4"/>
  <c r="G11" i="4"/>
  <c r="E11" i="4"/>
  <c r="C11" i="4"/>
  <c r="B11" i="4"/>
  <c r="H10" i="4"/>
  <c r="G10" i="4"/>
  <c r="E10" i="4"/>
  <c r="C10" i="4"/>
  <c r="B10" i="4"/>
  <c r="H9" i="4"/>
  <c r="G9" i="4"/>
  <c r="E9" i="4"/>
  <c r="C9" i="4"/>
  <c r="B9" i="4"/>
  <c r="H8" i="4"/>
  <c r="G8" i="4"/>
  <c r="E8" i="4"/>
  <c r="D8" i="4"/>
  <c r="C8" i="4"/>
  <c r="B8" i="4"/>
  <c r="C5" i="4"/>
  <c r="C4" i="4"/>
  <c r="C3" i="4"/>
  <c r="D24" i="1"/>
  <c r="G24" i="1" s="1"/>
  <c r="D23" i="1"/>
  <c r="G23" i="1" s="1"/>
  <c r="D22" i="1"/>
  <c r="G22" i="1" s="1"/>
  <c r="D21" i="1"/>
  <c r="G21" i="1" s="1"/>
  <c r="D20" i="1"/>
  <c r="G20" i="1" s="1"/>
  <c r="D19" i="1"/>
  <c r="G19" i="1" s="1"/>
  <c r="D18" i="1"/>
  <c r="G18" i="1" s="1"/>
  <c r="D17" i="1"/>
  <c r="G17" i="1" s="1"/>
  <c r="D16" i="1"/>
  <c r="G16" i="1" s="1"/>
  <c r="D15" i="1"/>
  <c r="G15" i="1" s="1"/>
  <c r="D14" i="1"/>
  <c r="G14" i="1" s="1"/>
  <c r="D13" i="1"/>
  <c r="G13" i="1" s="1"/>
  <c r="D11" i="1"/>
  <c r="G11" i="1" s="1"/>
  <c r="D10" i="1"/>
  <c r="G10" i="1" s="1"/>
  <c r="D9" i="1"/>
  <c r="G9" i="1" s="1"/>
  <c r="D8" i="1"/>
  <c r="G8" i="1" s="1"/>
  <c r="D7" i="1"/>
  <c r="G7" i="1" s="1"/>
  <c r="BS50" i="3"/>
  <c r="AR50" i="3"/>
  <c r="AQ50" i="3"/>
  <c r="AP50" i="3"/>
  <c r="AO50" i="3"/>
  <c r="AN50" i="3"/>
  <c r="V50" i="3"/>
  <c r="T50" i="3"/>
  <c r="O50" i="3"/>
  <c r="N50" i="3"/>
  <c r="M50" i="3"/>
  <c r="L50" i="3"/>
  <c r="G50" i="3"/>
  <c r="F50" i="3"/>
  <c r="A50" i="3"/>
  <c r="BS49" i="3"/>
  <c r="AR49" i="3"/>
  <c r="AQ49" i="3"/>
  <c r="AP49" i="3"/>
  <c r="AO49" i="3"/>
  <c r="AN49" i="3"/>
  <c r="V49" i="3"/>
  <c r="T49" i="3"/>
  <c r="O49" i="3"/>
  <c r="N49" i="3"/>
  <c r="M49" i="3"/>
  <c r="L49" i="3"/>
  <c r="G49" i="3"/>
  <c r="F49" i="3"/>
  <c r="A49" i="3"/>
  <c r="BS48" i="3"/>
  <c r="AR48" i="3"/>
  <c r="AQ48" i="3"/>
  <c r="AP48" i="3"/>
  <c r="AO48" i="3"/>
  <c r="AN48" i="3"/>
  <c r="V48" i="3"/>
  <c r="T48" i="3"/>
  <c r="O48" i="3"/>
  <c r="N48" i="3"/>
  <c r="M48" i="3"/>
  <c r="L48" i="3"/>
  <c r="G48" i="3"/>
  <c r="F48" i="3"/>
  <c r="A48" i="3"/>
  <c r="BS47" i="3"/>
  <c r="AR47" i="3"/>
  <c r="AQ47" i="3"/>
  <c r="AP47" i="3"/>
  <c r="AO47" i="3"/>
  <c r="AN47" i="3"/>
  <c r="V47" i="3"/>
  <c r="T47" i="3"/>
  <c r="O47" i="3"/>
  <c r="N47" i="3"/>
  <c r="M47" i="3"/>
  <c r="L47" i="3"/>
  <c r="G47" i="3"/>
  <c r="F47" i="3"/>
  <c r="A47" i="3"/>
  <c r="BS46" i="3"/>
  <c r="AR46" i="3"/>
  <c r="AQ46" i="3"/>
  <c r="AP46" i="3"/>
  <c r="AO46" i="3"/>
  <c r="AN46" i="3"/>
  <c r="V46" i="3"/>
  <c r="T46" i="3"/>
  <c r="O46" i="3"/>
  <c r="N46" i="3"/>
  <c r="M46" i="3"/>
  <c r="L46" i="3"/>
  <c r="G46" i="3"/>
  <c r="F46" i="3"/>
  <c r="A46" i="3"/>
  <c r="BS45" i="3"/>
  <c r="AR45" i="3"/>
  <c r="AQ45" i="3"/>
  <c r="AP45" i="3"/>
  <c r="AO45" i="3"/>
  <c r="AN45" i="3"/>
  <c r="V45" i="3"/>
  <c r="T45" i="3"/>
  <c r="O45" i="3"/>
  <c r="N45" i="3"/>
  <c r="M45" i="3"/>
  <c r="L45" i="3"/>
  <c r="G45" i="3"/>
  <c r="F45" i="3"/>
  <c r="A45" i="3"/>
  <c r="BS44" i="3"/>
  <c r="AR44" i="3"/>
  <c r="AQ44" i="3"/>
  <c r="AP44" i="3"/>
  <c r="AO44" i="3"/>
  <c r="AN44" i="3"/>
  <c r="V44" i="3"/>
  <c r="T44" i="3"/>
  <c r="O44" i="3"/>
  <c r="N44" i="3"/>
  <c r="M44" i="3"/>
  <c r="Q44" i="3" s="1"/>
  <c r="L44" i="3"/>
  <c r="P44" i="3" s="1"/>
  <c r="R44" i="3" s="1"/>
  <c r="AW44" i="3" s="1"/>
  <c r="G44" i="3"/>
  <c r="F44" i="3"/>
  <c r="A44" i="3"/>
  <c r="BS43" i="3"/>
  <c r="AR43" i="3"/>
  <c r="AQ43" i="3"/>
  <c r="AP43" i="3"/>
  <c r="AO43" i="3"/>
  <c r="AN43" i="3"/>
  <c r="V43" i="3"/>
  <c r="T43" i="3"/>
  <c r="Q43" i="3"/>
  <c r="O43" i="3"/>
  <c r="N43" i="3"/>
  <c r="M43" i="3"/>
  <c r="L43" i="3"/>
  <c r="P43" i="3" s="1"/>
  <c r="G43" i="3"/>
  <c r="F43" i="3"/>
  <c r="A43" i="3"/>
  <c r="BS42" i="3"/>
  <c r="AR42" i="3"/>
  <c r="AQ42" i="3"/>
  <c r="AP42" i="3"/>
  <c r="AO42" i="3"/>
  <c r="AN42" i="3"/>
  <c r="V42" i="3"/>
  <c r="T42" i="3"/>
  <c r="O42" i="3"/>
  <c r="N42" i="3"/>
  <c r="M42" i="3"/>
  <c r="L42" i="3"/>
  <c r="G42" i="3"/>
  <c r="F42" i="3"/>
  <c r="A42" i="3"/>
  <c r="BS41" i="3"/>
  <c r="AR41" i="3"/>
  <c r="AQ41" i="3"/>
  <c r="AP41" i="3"/>
  <c r="AO41" i="3"/>
  <c r="AN41" i="3"/>
  <c r="V41" i="3"/>
  <c r="T41" i="3"/>
  <c r="O41" i="3"/>
  <c r="N41" i="3"/>
  <c r="M41" i="3"/>
  <c r="L41" i="3"/>
  <c r="G41" i="3"/>
  <c r="P41" i="3" s="1"/>
  <c r="F41" i="3"/>
  <c r="A41" i="3"/>
  <c r="BS40" i="3"/>
  <c r="AR40" i="3"/>
  <c r="AQ40" i="3"/>
  <c r="AP40" i="3"/>
  <c r="AO40" i="3"/>
  <c r="AN40" i="3"/>
  <c r="V40" i="3"/>
  <c r="T40" i="3"/>
  <c r="O40" i="3"/>
  <c r="N40" i="3"/>
  <c r="M40" i="3"/>
  <c r="L40" i="3"/>
  <c r="G40" i="3"/>
  <c r="F40" i="3"/>
  <c r="A40" i="3"/>
  <c r="BS39" i="3"/>
  <c r="AR39" i="3"/>
  <c r="AQ39" i="3"/>
  <c r="AP39" i="3"/>
  <c r="AO39" i="3"/>
  <c r="AN39" i="3"/>
  <c r="V39" i="3"/>
  <c r="T39" i="3"/>
  <c r="O39" i="3"/>
  <c r="N39" i="3"/>
  <c r="M39" i="3"/>
  <c r="L39" i="3"/>
  <c r="G39" i="3"/>
  <c r="F39" i="3"/>
  <c r="Q39" i="3" s="1"/>
  <c r="A39" i="3"/>
  <c r="BS38" i="3"/>
  <c r="AR38" i="3"/>
  <c r="AQ38" i="3"/>
  <c r="AP38" i="3"/>
  <c r="AO38" i="3"/>
  <c r="AN38" i="3"/>
  <c r="V38" i="3"/>
  <c r="T38" i="3"/>
  <c r="O38" i="3"/>
  <c r="N38" i="3"/>
  <c r="M38" i="3"/>
  <c r="L38" i="3"/>
  <c r="G38" i="3"/>
  <c r="F38" i="3"/>
  <c r="A38" i="3"/>
  <c r="BS37" i="3"/>
  <c r="AR37" i="3"/>
  <c r="AQ37" i="3"/>
  <c r="AP37" i="3"/>
  <c r="AO37" i="3"/>
  <c r="AN37" i="3"/>
  <c r="V37" i="3"/>
  <c r="T37" i="3"/>
  <c r="O37" i="3"/>
  <c r="N37" i="3"/>
  <c r="M37" i="3"/>
  <c r="L37" i="3"/>
  <c r="G37" i="3"/>
  <c r="F37" i="3"/>
  <c r="A37" i="3"/>
  <c r="BS36" i="3"/>
  <c r="AR36" i="3"/>
  <c r="AQ36" i="3"/>
  <c r="AP36" i="3"/>
  <c r="AO36" i="3"/>
  <c r="AN36" i="3"/>
  <c r="V36" i="3"/>
  <c r="T36" i="3"/>
  <c r="O36" i="3"/>
  <c r="N36" i="3"/>
  <c r="M36" i="3"/>
  <c r="L36" i="3"/>
  <c r="G36" i="3"/>
  <c r="F36" i="3"/>
  <c r="A36" i="3"/>
  <c r="A37" i="4" s="1"/>
  <c r="BS35" i="3"/>
  <c r="AR35" i="3"/>
  <c r="AQ35" i="3"/>
  <c r="AP35" i="3"/>
  <c r="AO35" i="3"/>
  <c r="AN35" i="3"/>
  <c r="V35" i="3"/>
  <c r="T35" i="3"/>
  <c r="O35" i="3"/>
  <c r="N35" i="3"/>
  <c r="M35" i="3"/>
  <c r="L35" i="3"/>
  <c r="G35" i="3"/>
  <c r="F35" i="3"/>
  <c r="A35" i="3"/>
  <c r="A36" i="4" s="1"/>
  <c r="BS34" i="3"/>
  <c r="AR34" i="3"/>
  <c r="AQ34" i="3"/>
  <c r="AP34" i="3"/>
  <c r="AO34" i="3"/>
  <c r="AN34" i="3"/>
  <c r="V34" i="3"/>
  <c r="T34" i="3"/>
  <c r="O34" i="3"/>
  <c r="N34" i="3"/>
  <c r="M34" i="3"/>
  <c r="L34" i="3"/>
  <c r="G34" i="3"/>
  <c r="F34" i="3"/>
  <c r="A34" i="3"/>
  <c r="A35" i="4" s="1"/>
  <c r="BS33" i="3"/>
  <c r="AR33" i="3"/>
  <c r="AQ33" i="3"/>
  <c r="AP33" i="3"/>
  <c r="AO33" i="3"/>
  <c r="AN33" i="3"/>
  <c r="V33" i="3"/>
  <c r="T33" i="3"/>
  <c r="O33" i="3"/>
  <c r="N33" i="3"/>
  <c r="M33" i="3"/>
  <c r="L33" i="3"/>
  <c r="G33" i="3"/>
  <c r="F33" i="3"/>
  <c r="D34" i="4" s="1"/>
  <c r="A33" i="3"/>
  <c r="A34" i="4" s="1"/>
  <c r="BS32" i="3"/>
  <c r="AR32" i="3"/>
  <c r="AQ32" i="3"/>
  <c r="AP32" i="3"/>
  <c r="AO32" i="3"/>
  <c r="AN32" i="3"/>
  <c r="V32" i="3"/>
  <c r="T32" i="3"/>
  <c r="O32" i="3"/>
  <c r="N32" i="3"/>
  <c r="M32" i="3"/>
  <c r="L32" i="3"/>
  <c r="G32" i="3"/>
  <c r="F32" i="3"/>
  <c r="A32" i="3"/>
  <c r="A33" i="4" s="1"/>
  <c r="BS31" i="3"/>
  <c r="AR31" i="3"/>
  <c r="AQ31" i="3"/>
  <c r="AP31" i="3"/>
  <c r="AO31" i="3"/>
  <c r="AN31" i="3"/>
  <c r="V31" i="3"/>
  <c r="T31" i="3"/>
  <c r="O31" i="3"/>
  <c r="N31" i="3"/>
  <c r="M31" i="3"/>
  <c r="L31" i="3"/>
  <c r="G31" i="3"/>
  <c r="F31" i="3"/>
  <c r="A31" i="3"/>
  <c r="A32" i="4" s="1"/>
  <c r="BS30" i="3"/>
  <c r="AR30" i="3"/>
  <c r="AQ30" i="3"/>
  <c r="AP30" i="3"/>
  <c r="AO30" i="3"/>
  <c r="AN30" i="3"/>
  <c r="V30" i="3"/>
  <c r="T30" i="3"/>
  <c r="O30" i="3"/>
  <c r="N30" i="3"/>
  <c r="M30" i="3"/>
  <c r="L30" i="3"/>
  <c r="P30" i="3" s="1"/>
  <c r="G30" i="3"/>
  <c r="F30" i="3"/>
  <c r="A30" i="3"/>
  <c r="A31" i="4" s="1"/>
  <c r="BS29" i="3"/>
  <c r="AR29" i="3"/>
  <c r="AQ29" i="3"/>
  <c r="AP29" i="3"/>
  <c r="AO29" i="3"/>
  <c r="AN29" i="3"/>
  <c r="V29" i="3"/>
  <c r="T29" i="3"/>
  <c r="O29" i="3"/>
  <c r="N29" i="3"/>
  <c r="M29" i="3"/>
  <c r="L29" i="3"/>
  <c r="G29" i="3"/>
  <c r="F29" i="3"/>
  <c r="A29" i="3"/>
  <c r="A30" i="4" s="1"/>
  <c r="BS28" i="3"/>
  <c r="AR28" i="3"/>
  <c r="AQ28" i="3"/>
  <c r="AP28" i="3"/>
  <c r="AO28" i="3"/>
  <c r="AN28" i="3"/>
  <c r="V28" i="3"/>
  <c r="T28" i="3"/>
  <c r="O28" i="3"/>
  <c r="N28" i="3"/>
  <c r="M28" i="3"/>
  <c r="L28" i="3"/>
  <c r="G28" i="3"/>
  <c r="F28" i="3"/>
  <c r="A28" i="3"/>
  <c r="A29" i="4" s="1"/>
  <c r="BS27" i="3"/>
  <c r="AR27" i="3"/>
  <c r="AQ27" i="3"/>
  <c r="AP27" i="3"/>
  <c r="AO27" i="3"/>
  <c r="AN27" i="3"/>
  <c r="V27" i="3"/>
  <c r="T27" i="3"/>
  <c r="O27" i="3"/>
  <c r="N27" i="3"/>
  <c r="M27" i="3"/>
  <c r="L27" i="3"/>
  <c r="G27" i="3"/>
  <c r="F27" i="3"/>
  <c r="A27" i="3"/>
  <c r="A28" i="4" s="1"/>
  <c r="BS26" i="3"/>
  <c r="AR26" i="3"/>
  <c r="AQ26" i="3"/>
  <c r="AP26" i="3"/>
  <c r="AO26" i="3"/>
  <c r="AN26" i="3"/>
  <c r="V26" i="3"/>
  <c r="T26" i="3"/>
  <c r="O26" i="3"/>
  <c r="N26" i="3"/>
  <c r="M26" i="3"/>
  <c r="L26" i="3"/>
  <c r="G26" i="3"/>
  <c r="F26" i="3"/>
  <c r="A26" i="3"/>
  <c r="A27" i="4" s="1"/>
  <c r="BS25" i="3"/>
  <c r="AR25" i="3"/>
  <c r="AQ25" i="3"/>
  <c r="AP25" i="3"/>
  <c r="AO25" i="3"/>
  <c r="AN25" i="3"/>
  <c r="V25" i="3"/>
  <c r="T25" i="3"/>
  <c r="O25" i="3"/>
  <c r="N25" i="3"/>
  <c r="M25" i="3"/>
  <c r="L25" i="3"/>
  <c r="G25" i="3"/>
  <c r="F25" i="3"/>
  <c r="D26" i="4" s="1"/>
  <c r="A25" i="3"/>
  <c r="A26" i="4" s="1"/>
  <c r="BS24" i="3"/>
  <c r="AR24" i="3"/>
  <c r="AQ24" i="3"/>
  <c r="AP24" i="3"/>
  <c r="AO24" i="3"/>
  <c r="AN24" i="3"/>
  <c r="V24" i="3"/>
  <c r="T24" i="3"/>
  <c r="O24" i="3"/>
  <c r="N24" i="3"/>
  <c r="M24" i="3"/>
  <c r="L24" i="3"/>
  <c r="G24" i="3"/>
  <c r="F24" i="3"/>
  <c r="A24" i="3"/>
  <c r="A25" i="4" s="1"/>
  <c r="BS23" i="3"/>
  <c r="AR23" i="3"/>
  <c r="AQ23" i="3"/>
  <c r="AP23" i="3"/>
  <c r="AO23" i="3"/>
  <c r="AN23" i="3"/>
  <c r="V23" i="3"/>
  <c r="T23" i="3"/>
  <c r="O23" i="3"/>
  <c r="N23" i="3"/>
  <c r="M23" i="3"/>
  <c r="L23" i="3"/>
  <c r="G23" i="3"/>
  <c r="F23" i="3"/>
  <c r="A23" i="3"/>
  <c r="A24" i="4" s="1"/>
  <c r="BS22" i="3"/>
  <c r="AR22" i="3"/>
  <c r="AQ22" i="3"/>
  <c r="AP22" i="3"/>
  <c r="AO22" i="3"/>
  <c r="AN22" i="3"/>
  <c r="V22" i="3"/>
  <c r="T22" i="3"/>
  <c r="O22" i="3"/>
  <c r="N22" i="3"/>
  <c r="M22" i="3"/>
  <c r="L22" i="3"/>
  <c r="G22" i="3"/>
  <c r="F22" i="3"/>
  <c r="A22" i="3"/>
  <c r="A23" i="4" s="1"/>
  <c r="BS21" i="3"/>
  <c r="AR21" i="3"/>
  <c r="AQ21" i="3"/>
  <c r="AP21" i="3"/>
  <c r="AO21" i="3"/>
  <c r="AN21" i="3"/>
  <c r="V21" i="3"/>
  <c r="T21" i="3"/>
  <c r="O21" i="3"/>
  <c r="N21" i="3"/>
  <c r="M21" i="3"/>
  <c r="L21" i="3"/>
  <c r="G21" i="3"/>
  <c r="F21" i="3"/>
  <c r="A21" i="3"/>
  <c r="A22" i="4" s="1"/>
  <c r="BS20" i="3"/>
  <c r="AR20" i="3"/>
  <c r="AQ20" i="3"/>
  <c r="AP20" i="3"/>
  <c r="AO20" i="3"/>
  <c r="AN20" i="3"/>
  <c r="V20" i="3"/>
  <c r="T20" i="3"/>
  <c r="O20" i="3"/>
  <c r="N20" i="3"/>
  <c r="M20" i="3"/>
  <c r="L20" i="3"/>
  <c r="G20" i="3"/>
  <c r="F20" i="3"/>
  <c r="A20" i="3"/>
  <c r="A21" i="4" s="1"/>
  <c r="BS19" i="3"/>
  <c r="AR19" i="3"/>
  <c r="AQ19" i="3"/>
  <c r="AP19" i="3"/>
  <c r="AO19" i="3"/>
  <c r="AN19" i="3"/>
  <c r="V19" i="3"/>
  <c r="T19" i="3"/>
  <c r="O19" i="3"/>
  <c r="N19" i="3"/>
  <c r="M19" i="3"/>
  <c r="L19" i="3"/>
  <c r="G19" i="3"/>
  <c r="F19" i="3"/>
  <c r="A19" i="3"/>
  <c r="A20" i="4" s="1"/>
  <c r="BS18" i="3"/>
  <c r="AR18" i="3"/>
  <c r="AQ18" i="3"/>
  <c r="AP18" i="3"/>
  <c r="AO18" i="3"/>
  <c r="AN18" i="3"/>
  <c r="V18" i="3"/>
  <c r="T18" i="3"/>
  <c r="O18" i="3"/>
  <c r="N18" i="3"/>
  <c r="M18" i="3"/>
  <c r="L18" i="3"/>
  <c r="G18" i="3"/>
  <c r="F18" i="3"/>
  <c r="A18" i="3"/>
  <c r="A19" i="4" s="1"/>
  <c r="BS17" i="3"/>
  <c r="AR17" i="3"/>
  <c r="AQ17" i="3"/>
  <c r="AP17" i="3"/>
  <c r="AO17" i="3"/>
  <c r="AN17" i="3"/>
  <c r="V17" i="3"/>
  <c r="T17" i="3"/>
  <c r="O17" i="3"/>
  <c r="N17" i="3"/>
  <c r="M17" i="3"/>
  <c r="L17" i="3"/>
  <c r="G17" i="3"/>
  <c r="F17" i="3"/>
  <c r="A17" i="3"/>
  <c r="A18" i="4" s="1"/>
  <c r="BS16" i="3"/>
  <c r="AR16" i="3"/>
  <c r="AQ16" i="3"/>
  <c r="AP16" i="3"/>
  <c r="AO16" i="3"/>
  <c r="AN16" i="3"/>
  <c r="V16" i="3"/>
  <c r="T16" i="3"/>
  <c r="O16" i="3"/>
  <c r="N16" i="3"/>
  <c r="M16" i="3"/>
  <c r="L16" i="3"/>
  <c r="G16" i="3"/>
  <c r="F16" i="3"/>
  <c r="A16" i="3"/>
  <c r="A17" i="4" s="1"/>
  <c r="BS15" i="3"/>
  <c r="AR15" i="3"/>
  <c r="AQ15" i="3"/>
  <c r="AP15" i="3"/>
  <c r="AO15" i="3"/>
  <c r="AN15" i="3"/>
  <c r="V15" i="3"/>
  <c r="T15" i="3"/>
  <c r="O15" i="3"/>
  <c r="N15" i="3"/>
  <c r="M15" i="3"/>
  <c r="L15" i="3"/>
  <c r="G15" i="3"/>
  <c r="F15" i="3"/>
  <c r="D16" i="4" s="1"/>
  <c r="A15" i="3"/>
  <c r="A16" i="4" s="1"/>
  <c r="BS14" i="3"/>
  <c r="AR14" i="3"/>
  <c r="AQ14" i="3"/>
  <c r="AP14" i="3"/>
  <c r="AO14" i="3"/>
  <c r="AN14" i="3"/>
  <c r="V14" i="3"/>
  <c r="T14" i="3"/>
  <c r="O14" i="3"/>
  <c r="N14" i="3"/>
  <c r="M14" i="3"/>
  <c r="L14" i="3"/>
  <c r="G14" i="3"/>
  <c r="F14" i="3"/>
  <c r="A14" i="3"/>
  <c r="A15" i="4" s="1"/>
  <c r="BS13" i="3"/>
  <c r="AR13" i="3"/>
  <c r="AQ13" i="3"/>
  <c r="AP13" i="3"/>
  <c r="AO13" i="3"/>
  <c r="AN13" i="3"/>
  <c r="V13" i="3"/>
  <c r="T13" i="3"/>
  <c r="O13" i="3"/>
  <c r="N13" i="3"/>
  <c r="M13" i="3"/>
  <c r="L13" i="3"/>
  <c r="G13" i="3"/>
  <c r="F13" i="3"/>
  <c r="A13" i="3"/>
  <c r="A14" i="4" s="1"/>
  <c r="BS12" i="3"/>
  <c r="AR12" i="3"/>
  <c r="AQ12" i="3"/>
  <c r="AP12" i="3"/>
  <c r="AO12" i="3"/>
  <c r="AN12" i="3"/>
  <c r="V12" i="3"/>
  <c r="T12" i="3"/>
  <c r="O12" i="3"/>
  <c r="N12" i="3"/>
  <c r="M12" i="3"/>
  <c r="L12" i="3"/>
  <c r="G12" i="3"/>
  <c r="F12" i="3"/>
  <c r="A12" i="3"/>
  <c r="A13" i="4" s="1"/>
  <c r="BS11" i="3"/>
  <c r="AR11" i="3"/>
  <c r="AQ11" i="3"/>
  <c r="AP11" i="3"/>
  <c r="AO11" i="3"/>
  <c r="AN11" i="3"/>
  <c r="V11" i="3"/>
  <c r="T11" i="3"/>
  <c r="O11" i="3"/>
  <c r="N11" i="3"/>
  <c r="M11" i="3"/>
  <c r="L11" i="3"/>
  <c r="G11" i="3"/>
  <c r="F11" i="3"/>
  <c r="A11" i="3"/>
  <c r="A12" i="4" s="1"/>
  <c r="BS10" i="3"/>
  <c r="AR10" i="3"/>
  <c r="AQ10" i="3"/>
  <c r="AP10" i="3"/>
  <c r="AO10" i="3"/>
  <c r="AN10" i="3"/>
  <c r="V10" i="3"/>
  <c r="T10" i="3"/>
  <c r="O10" i="3"/>
  <c r="N10" i="3"/>
  <c r="M10" i="3"/>
  <c r="L10" i="3"/>
  <c r="G10" i="3"/>
  <c r="F10" i="3"/>
  <c r="A10" i="3"/>
  <c r="A11" i="4" s="1"/>
  <c r="BS9" i="3"/>
  <c r="AR9" i="3"/>
  <c r="AQ9" i="3"/>
  <c r="AP9" i="3"/>
  <c r="AO9" i="3"/>
  <c r="AN9" i="3"/>
  <c r="V9" i="3"/>
  <c r="T9" i="3"/>
  <c r="O9" i="3"/>
  <c r="N9" i="3"/>
  <c r="M9" i="3"/>
  <c r="L9" i="3"/>
  <c r="G9" i="3"/>
  <c r="F9" i="3"/>
  <c r="A9" i="3"/>
  <c r="A10" i="4" s="1"/>
  <c r="BS8" i="3"/>
  <c r="AR8" i="3"/>
  <c r="AQ8" i="3"/>
  <c r="AP8" i="3"/>
  <c r="AO8" i="3"/>
  <c r="AN8" i="3"/>
  <c r="V8" i="3"/>
  <c r="T8" i="3"/>
  <c r="O8" i="3"/>
  <c r="N8" i="3"/>
  <c r="M8" i="3"/>
  <c r="L8" i="3"/>
  <c r="G8" i="3"/>
  <c r="F8" i="3"/>
  <c r="A8" i="3"/>
  <c r="A9" i="4" s="1"/>
  <c r="BS7" i="3"/>
  <c r="AR7" i="3"/>
  <c r="AQ7" i="3"/>
  <c r="AP7" i="3"/>
  <c r="AO7" i="3"/>
  <c r="AN7" i="3"/>
  <c r="V7" i="3"/>
  <c r="T7" i="3"/>
  <c r="O7" i="3"/>
  <c r="N7" i="3"/>
  <c r="M7" i="3"/>
  <c r="Q7" i="3" s="1"/>
  <c r="L7" i="3"/>
  <c r="P7" i="3" s="1"/>
  <c r="A7" i="3"/>
  <c r="A8" i="4" s="1"/>
  <c r="BK3" i="3"/>
  <c r="Q26" i="3" l="1"/>
  <c r="P35" i="3"/>
  <c r="P16" i="3"/>
  <c r="P37" i="3"/>
  <c r="Q32" i="3"/>
  <c r="P19" i="3"/>
  <c r="Q25" i="3"/>
  <c r="P40" i="3"/>
  <c r="P27" i="3"/>
  <c r="P34" i="3"/>
  <c r="P21" i="3"/>
  <c r="P29" i="3"/>
  <c r="P36" i="3"/>
  <c r="R7" i="3"/>
  <c r="AV7" i="3" s="1"/>
  <c r="D10" i="4"/>
  <c r="D17" i="4"/>
  <c r="Q23" i="3"/>
  <c r="D31" i="4"/>
  <c r="P39" i="3"/>
  <c r="R39" i="3" s="1"/>
  <c r="P14" i="3"/>
  <c r="P33" i="3"/>
  <c r="D23" i="4"/>
  <c r="P28" i="3"/>
  <c r="P8" i="3"/>
  <c r="Q9" i="3"/>
  <c r="P22" i="3"/>
  <c r="Q46" i="3"/>
  <c r="P23" i="3"/>
  <c r="P42" i="3"/>
  <c r="P32" i="3"/>
  <c r="Q11" i="3"/>
  <c r="P17" i="3"/>
  <c r="Q37" i="3"/>
  <c r="P48" i="3"/>
  <c r="Q29" i="3"/>
  <c r="P11" i="3"/>
  <c r="Q18" i="3"/>
  <c r="P12" i="3"/>
  <c r="D33" i="4"/>
  <c r="P50" i="3"/>
  <c r="P15" i="3"/>
  <c r="P20" i="3"/>
  <c r="R20" i="3" s="1"/>
  <c r="P25" i="3"/>
  <c r="Q41" i="3"/>
  <c r="R41" i="3" s="1"/>
  <c r="D12" i="4"/>
  <c r="P9" i="3"/>
  <c r="P46" i="3"/>
  <c r="Q30" i="3"/>
  <c r="R30" i="3" s="1"/>
  <c r="Q48" i="3"/>
  <c r="R48" i="3" s="1"/>
  <c r="AT44" i="3"/>
  <c r="AU44" i="3"/>
  <c r="AS44" i="3"/>
  <c r="AV44" i="3"/>
  <c r="Q16" i="3"/>
  <c r="Q22" i="3"/>
  <c r="Q49" i="3"/>
  <c r="P18" i="3"/>
  <c r="P13" i="3"/>
  <c r="D25" i="4"/>
  <c r="P49" i="3"/>
  <c r="D24" i="4"/>
  <c r="P24" i="3"/>
  <c r="D19" i="4"/>
  <c r="Q34" i="3"/>
  <c r="D35" i="4"/>
  <c r="Q12" i="3"/>
  <c r="D13" i="4"/>
  <c r="Q19" i="3"/>
  <c r="R19" i="3" s="1"/>
  <c r="D20" i="4"/>
  <c r="D22" i="4"/>
  <c r="Q21" i="3"/>
  <c r="D37" i="4"/>
  <c r="Q36" i="3"/>
  <c r="Q15" i="3"/>
  <c r="D15" i="4"/>
  <c r="Q14" i="3"/>
  <c r="D32" i="4"/>
  <c r="Q31" i="3"/>
  <c r="P31" i="3"/>
  <c r="D27" i="4"/>
  <c r="Q13" i="3"/>
  <c r="D14" i="4"/>
  <c r="R37" i="3"/>
  <c r="Q50" i="3"/>
  <c r="Q8" i="3"/>
  <c r="D9" i="4"/>
  <c r="D11" i="4"/>
  <c r="Q10" i="3"/>
  <c r="Q20" i="3"/>
  <c r="D21" i="4"/>
  <c r="D29" i="4"/>
  <c r="Q28" i="3"/>
  <c r="P10" i="3"/>
  <c r="Q27" i="3"/>
  <c r="D28" i="4"/>
  <c r="D36" i="4"/>
  <c r="Q35" i="3"/>
  <c r="R35" i="3" s="1"/>
  <c r="Q42" i="3"/>
  <c r="P26" i="3"/>
  <c r="R26" i="3" s="1"/>
  <c r="Q33" i="3"/>
  <c r="R43" i="3"/>
  <c r="Q40" i="3"/>
  <c r="D18" i="4"/>
  <c r="Q47" i="3"/>
  <c r="P47" i="3"/>
  <c r="D30" i="4"/>
  <c r="Q38" i="3"/>
  <c r="P38" i="3"/>
  <c r="Q45" i="3"/>
  <c r="P45" i="3"/>
  <c r="R45" i="3" s="1"/>
  <c r="Q17" i="3"/>
  <c r="Q24" i="3"/>
  <c r="R29" i="3" l="1"/>
  <c r="AW29" i="3" s="1"/>
  <c r="R32" i="3"/>
  <c r="AU32" i="3" s="1"/>
  <c r="R25" i="3"/>
  <c r="AS25" i="3" s="1"/>
  <c r="R23" i="3"/>
  <c r="AV23" i="3" s="1"/>
  <c r="R16" i="3"/>
  <c r="R15" i="3"/>
  <c r="AW15" i="3" s="1"/>
  <c r="R36" i="3"/>
  <c r="AV36" i="3" s="1"/>
  <c r="R34" i="3"/>
  <c r="AV34" i="3" s="1"/>
  <c r="AT7" i="3"/>
  <c r="AS7" i="3"/>
  <c r="R33" i="3"/>
  <c r="AU33" i="3" s="1"/>
  <c r="R21" i="3"/>
  <c r="AV21" i="3" s="1"/>
  <c r="R50" i="3"/>
  <c r="AT50" i="3" s="1"/>
  <c r="R27" i="3"/>
  <c r="AV27" i="3" s="1"/>
  <c r="R40" i="3"/>
  <c r="AW40" i="3" s="1"/>
  <c r="R8" i="3"/>
  <c r="AW8" i="3" s="1"/>
  <c r="AW7" i="3"/>
  <c r="R24" i="3"/>
  <c r="AS24" i="3" s="1"/>
  <c r="AU7" i="3"/>
  <c r="R31" i="3"/>
  <c r="AT31" i="3" s="1"/>
  <c r="R11" i="3"/>
  <c r="AV11" i="3" s="1"/>
  <c r="R42" i="3"/>
  <c r="AW42" i="3" s="1"/>
  <c r="R17" i="3"/>
  <c r="AV17" i="3" s="1"/>
  <c r="R46" i="3"/>
  <c r="AT46" i="3" s="1"/>
  <c r="R28" i="3"/>
  <c r="AS28" i="3" s="1"/>
  <c r="R9" i="3"/>
  <c r="AT9" i="3" s="1"/>
  <c r="R12" i="3"/>
  <c r="AS12" i="3" s="1"/>
  <c r="R18" i="3"/>
  <c r="AU18" i="3" s="1"/>
  <c r="R22" i="3"/>
  <c r="AV22" i="3" s="1"/>
  <c r="R14" i="3"/>
  <c r="AS14" i="3" s="1"/>
  <c r="AW30" i="3"/>
  <c r="AV30" i="3"/>
  <c r="AS30" i="3"/>
  <c r="AU30" i="3"/>
  <c r="AT30" i="3"/>
  <c r="AW16" i="3"/>
  <c r="AV16" i="3"/>
  <c r="AS16" i="3"/>
  <c r="AU16" i="3"/>
  <c r="AT16" i="3"/>
  <c r="AV41" i="3"/>
  <c r="AU41" i="3"/>
  <c r="AT41" i="3"/>
  <c r="AW41" i="3"/>
  <c r="AS41" i="3"/>
  <c r="AU8" i="3"/>
  <c r="AT8" i="3"/>
  <c r="AV35" i="3"/>
  <c r="AU35" i="3"/>
  <c r="AT35" i="3"/>
  <c r="AW35" i="3"/>
  <c r="AS35" i="3"/>
  <c r="AV45" i="3"/>
  <c r="AW45" i="3"/>
  <c r="AU45" i="3"/>
  <c r="AS45" i="3"/>
  <c r="AT45" i="3"/>
  <c r="AV20" i="3"/>
  <c r="AU20" i="3"/>
  <c r="AT20" i="3"/>
  <c r="AW20" i="3"/>
  <c r="AS20" i="3"/>
  <c r="AT37" i="3"/>
  <c r="AW37" i="3"/>
  <c r="AS37" i="3"/>
  <c r="AV37" i="3"/>
  <c r="AU37" i="3"/>
  <c r="AW31" i="3"/>
  <c r="AU31" i="3"/>
  <c r="AW25" i="3"/>
  <c r="AW39" i="3"/>
  <c r="AS39" i="3"/>
  <c r="AV39" i="3"/>
  <c r="AU39" i="3"/>
  <c r="AT39" i="3"/>
  <c r="AV19" i="3"/>
  <c r="AU19" i="3"/>
  <c r="AT19" i="3"/>
  <c r="AW19" i="3"/>
  <c r="AS19" i="3"/>
  <c r="AW43" i="3"/>
  <c r="AS43" i="3"/>
  <c r="AV43" i="3"/>
  <c r="AU43" i="3"/>
  <c r="AT43" i="3"/>
  <c r="AV48" i="3"/>
  <c r="AU48" i="3"/>
  <c r="AT48" i="3"/>
  <c r="AW48" i="3"/>
  <c r="AS48" i="3"/>
  <c r="AS11" i="3"/>
  <c r="AT15" i="3"/>
  <c r="R13" i="3"/>
  <c r="R49" i="3"/>
  <c r="AT23" i="3"/>
  <c r="AW23" i="3"/>
  <c r="AS23" i="3"/>
  <c r="AV26" i="3"/>
  <c r="AU26" i="3"/>
  <c r="AT26" i="3"/>
  <c r="AW26" i="3"/>
  <c r="AS26" i="3"/>
  <c r="AT14" i="3"/>
  <c r="R10" i="3"/>
  <c r="AZ44" i="3"/>
  <c r="AX44" i="3"/>
  <c r="R38" i="3"/>
  <c r="R47" i="3"/>
  <c r="AU23" i="3" l="1"/>
  <c r="AZ7" i="3"/>
  <c r="AT29" i="3"/>
  <c r="AV31" i="3"/>
  <c r="AU29" i="3"/>
  <c r="AZ29" i="3" s="1"/>
  <c r="AS34" i="3"/>
  <c r="AV29" i="3"/>
  <c r="AW34" i="3"/>
  <c r="AS29" i="3"/>
  <c r="AU15" i="3"/>
  <c r="AS27" i="3"/>
  <c r="AV33" i="3"/>
  <c r="AW11" i="3"/>
  <c r="AW36" i="3"/>
  <c r="AT36" i="3"/>
  <c r="AT34" i="3"/>
  <c r="AZ39" i="3"/>
  <c r="AW32" i="3"/>
  <c r="AT25" i="3"/>
  <c r="AX25" i="3" s="1"/>
  <c r="BQ25" i="3" s="1"/>
  <c r="I26" i="4" s="1"/>
  <c r="AU42" i="3"/>
  <c r="AU25" i="3"/>
  <c r="AV32" i="3"/>
  <c r="AT32" i="3"/>
  <c r="AV25" i="3"/>
  <c r="AS32" i="3"/>
  <c r="AV15" i="3"/>
  <c r="AS15" i="3"/>
  <c r="AZ15" i="3" s="1"/>
  <c r="AS31" i="3"/>
  <c r="AZ31" i="3" s="1"/>
  <c r="AW17" i="3"/>
  <c r="AV18" i="3"/>
  <c r="AW27" i="3"/>
  <c r="AT40" i="3"/>
  <c r="AT27" i="3"/>
  <c r="AU27" i="3"/>
  <c r="AV46" i="3"/>
  <c r="AS46" i="3"/>
  <c r="AT28" i="3"/>
  <c r="AW46" i="3"/>
  <c r="AU46" i="3"/>
  <c r="AU12" i="3"/>
  <c r="AU34" i="3"/>
  <c r="AW28" i="3"/>
  <c r="AS50" i="3"/>
  <c r="AV12" i="3"/>
  <c r="AS33" i="3"/>
  <c r="AW50" i="3"/>
  <c r="AT11" i="3"/>
  <c r="AW33" i="3"/>
  <c r="AT17" i="3"/>
  <c r="AU50" i="3"/>
  <c r="AU11" i="3"/>
  <c r="AT33" i="3"/>
  <c r="AS17" i="3"/>
  <c r="AV50" i="3"/>
  <c r="AU40" i="3"/>
  <c r="AT21" i="3"/>
  <c r="AV40" i="3"/>
  <c r="AU21" i="3"/>
  <c r="AX7" i="3"/>
  <c r="BQ7" i="3" s="1"/>
  <c r="I8" i="4" s="1"/>
  <c r="AT12" i="3"/>
  <c r="AU28" i="3"/>
  <c r="AU17" i="3"/>
  <c r="AU14" i="3"/>
  <c r="AU24" i="3"/>
  <c r="AV24" i="3"/>
  <c r="AV8" i="3"/>
  <c r="AT24" i="3"/>
  <c r="AT18" i="3"/>
  <c r="AW18" i="3"/>
  <c r="AS18" i="3"/>
  <c r="AV28" i="3"/>
  <c r="AS21" i="3"/>
  <c r="AW24" i="3"/>
  <c r="AX41" i="3"/>
  <c r="BQ41" i="3" s="1"/>
  <c r="AW12" i="3"/>
  <c r="AT42" i="3"/>
  <c r="AW21" i="3"/>
  <c r="AS36" i="3"/>
  <c r="AS42" i="3"/>
  <c r="AU36" i="3"/>
  <c r="AZ30" i="3"/>
  <c r="AS40" i="3"/>
  <c r="AV42" i="3"/>
  <c r="AS8" i="3"/>
  <c r="AZ41" i="3"/>
  <c r="AZ16" i="3"/>
  <c r="AW14" i="3"/>
  <c r="AW22" i="3"/>
  <c r="AX39" i="3"/>
  <c r="AY39" i="3" s="1"/>
  <c r="AX30" i="3"/>
  <c r="AY30" i="3" s="1"/>
  <c r="AS22" i="3"/>
  <c r="AV14" i="3"/>
  <c r="AU9" i="3"/>
  <c r="AT22" i="3"/>
  <c r="AX29" i="3"/>
  <c r="BA29" i="3" s="1"/>
  <c r="AV9" i="3"/>
  <c r="AU22" i="3"/>
  <c r="AS9" i="3"/>
  <c r="AW9" i="3"/>
  <c r="AZ48" i="3"/>
  <c r="AX48" i="3"/>
  <c r="AW10" i="3"/>
  <c r="AS10" i="3"/>
  <c r="AV10" i="3"/>
  <c r="AU10" i="3"/>
  <c r="AT10" i="3"/>
  <c r="AV47" i="3"/>
  <c r="AU47" i="3"/>
  <c r="AT47" i="3"/>
  <c r="AW47" i="3"/>
  <c r="AS47" i="3"/>
  <c r="AV49" i="3"/>
  <c r="AU49" i="3"/>
  <c r="AT49" i="3"/>
  <c r="AW49" i="3"/>
  <c r="AS49" i="3"/>
  <c r="AW38" i="3"/>
  <c r="AS38" i="3"/>
  <c r="AV38" i="3"/>
  <c r="AU38" i="3"/>
  <c r="AT38" i="3"/>
  <c r="AV13" i="3"/>
  <c r="AU13" i="3"/>
  <c r="AT13" i="3"/>
  <c r="AW13" i="3"/>
  <c r="AS13" i="3"/>
  <c r="AX16" i="3"/>
  <c r="AY16" i="3" s="1"/>
  <c r="AX35" i="3"/>
  <c r="AZ35" i="3"/>
  <c r="AY44" i="3"/>
  <c r="BQ44" i="3"/>
  <c r="BA44" i="3"/>
  <c r="BJ44" i="3" s="1"/>
  <c r="AX26" i="3"/>
  <c r="AZ26" i="3"/>
  <c r="AX19" i="3"/>
  <c r="AZ19" i="3"/>
  <c r="AX37" i="3"/>
  <c r="AZ37" i="3"/>
  <c r="AZ43" i="3"/>
  <c r="AX43" i="3"/>
  <c r="AZ23" i="3"/>
  <c r="AX23" i="3"/>
  <c r="AZ45" i="3"/>
  <c r="AX45" i="3"/>
  <c r="AY7" i="3"/>
  <c r="BA7" i="3"/>
  <c r="AX20" i="3"/>
  <c r="AZ20" i="3"/>
  <c r="AX46" i="3" l="1"/>
  <c r="AX32" i="3"/>
  <c r="AZ11" i="3"/>
  <c r="AZ25" i="3"/>
  <c r="AX34" i="3"/>
  <c r="AY34" i="3" s="1"/>
  <c r="BA32" i="3"/>
  <c r="BQ32" i="3"/>
  <c r="I33" i="4" s="1"/>
  <c r="AX33" i="3"/>
  <c r="BQ33" i="3" s="1"/>
  <c r="I34" i="4" s="1"/>
  <c r="AZ32" i="3"/>
  <c r="BJ32" i="3" s="1"/>
  <c r="AX50" i="3"/>
  <c r="BA50" i="3" s="1"/>
  <c r="AX31" i="3"/>
  <c r="AX27" i="3"/>
  <c r="BQ27" i="3" s="1"/>
  <c r="I28" i="4" s="1"/>
  <c r="AZ27" i="3"/>
  <c r="AX42" i="3"/>
  <c r="BQ42" i="3" s="1"/>
  <c r="AZ46" i="3"/>
  <c r="AY32" i="3"/>
  <c r="BK32" i="3" s="1"/>
  <c r="AZ17" i="3"/>
  <c r="AX15" i="3"/>
  <c r="BA15" i="3" s="1"/>
  <c r="AX21" i="3"/>
  <c r="BQ21" i="3" s="1"/>
  <c r="I22" i="4" s="1"/>
  <c r="AZ50" i="3"/>
  <c r="AZ36" i="3"/>
  <c r="AX17" i="3"/>
  <c r="BQ17" i="3" s="1"/>
  <c r="I18" i="4" s="1"/>
  <c r="AX40" i="3"/>
  <c r="BQ40" i="3" s="1"/>
  <c r="AZ42" i="3"/>
  <c r="BJ29" i="3"/>
  <c r="AZ12" i="3"/>
  <c r="AY46" i="3"/>
  <c r="BA46" i="3"/>
  <c r="BQ46" i="3"/>
  <c r="BK39" i="3"/>
  <c r="AA39" i="3"/>
  <c r="BK30" i="3"/>
  <c r="AA30" i="3"/>
  <c r="AZ18" i="3"/>
  <c r="BA39" i="3"/>
  <c r="BJ39" i="3" s="1"/>
  <c r="AZ21" i="3"/>
  <c r="AX18" i="3"/>
  <c r="BQ18" i="3" s="1"/>
  <c r="I19" i="4" s="1"/>
  <c r="BK16" i="3"/>
  <c r="AA16" i="3"/>
  <c r="BK7" i="3"/>
  <c r="AA7" i="3"/>
  <c r="BA30" i="3"/>
  <c r="BJ30" i="3" s="1"/>
  <c r="BA41" i="3"/>
  <c r="BJ41" i="3" s="1"/>
  <c r="AX28" i="3"/>
  <c r="BA28" i="3" s="1"/>
  <c r="BK44" i="3"/>
  <c r="BL44" i="3" s="1"/>
  <c r="BN44" i="3" s="1"/>
  <c r="BO44" i="3" s="1"/>
  <c r="AA44" i="3"/>
  <c r="AZ40" i="3"/>
  <c r="AZ33" i="3"/>
  <c r="BQ39" i="3"/>
  <c r="AX12" i="3"/>
  <c r="BQ12" i="3" s="1"/>
  <c r="I13" i="4" s="1"/>
  <c r="AZ13" i="3"/>
  <c r="AX11" i="3"/>
  <c r="AY11" i="3" s="1"/>
  <c r="AZ24" i="3"/>
  <c r="BQ30" i="3"/>
  <c r="I31" i="4" s="1"/>
  <c r="AZ34" i="3"/>
  <c r="AZ8" i="3"/>
  <c r="AZ28" i="3"/>
  <c r="AZ22" i="3"/>
  <c r="AX24" i="3"/>
  <c r="AY24" i="3" s="1"/>
  <c r="AX36" i="3"/>
  <c r="BA36" i="3" s="1"/>
  <c r="AZ14" i="3"/>
  <c r="BA25" i="3"/>
  <c r="AX8" i="3"/>
  <c r="BA8" i="3" s="1"/>
  <c r="AY41" i="3"/>
  <c r="BQ29" i="3"/>
  <c r="I30" i="4" s="1"/>
  <c r="AY29" i="3"/>
  <c r="AX14" i="3"/>
  <c r="BA14" i="3" s="1"/>
  <c r="AX22" i="3"/>
  <c r="AX13" i="3"/>
  <c r="BA13" i="3" s="1"/>
  <c r="AZ9" i="3"/>
  <c r="AX9" i="3"/>
  <c r="AY25" i="3"/>
  <c r="BQ16" i="3"/>
  <c r="I17" i="4" s="1"/>
  <c r="BA16" i="3"/>
  <c r="BJ16" i="3" s="1"/>
  <c r="AZ49" i="3"/>
  <c r="AX49" i="3"/>
  <c r="BA48" i="3"/>
  <c r="BQ48" i="3"/>
  <c r="AY48" i="3"/>
  <c r="BQ19" i="3"/>
  <c r="I20" i="4" s="1"/>
  <c r="BA19" i="3"/>
  <c r="BJ19" i="3" s="1"/>
  <c r="AY19" i="3"/>
  <c r="BQ28" i="3"/>
  <c r="I29" i="4" s="1"/>
  <c r="AY23" i="3"/>
  <c r="BA23" i="3"/>
  <c r="BJ23" i="3" s="1"/>
  <c r="BQ23" i="3"/>
  <c r="I24" i="4" s="1"/>
  <c r="AY45" i="3"/>
  <c r="BA45" i="3"/>
  <c r="BJ45" i="3" s="1"/>
  <c r="BQ45" i="3"/>
  <c r="AX47" i="3"/>
  <c r="AZ47" i="3"/>
  <c r="BQ26" i="3"/>
  <c r="I27" i="4" s="1"/>
  <c r="BA26" i="3"/>
  <c r="BJ26" i="3" s="1"/>
  <c r="AY26" i="3"/>
  <c r="AZ38" i="3"/>
  <c r="AX38" i="3"/>
  <c r="BJ7" i="3"/>
  <c r="AY31" i="3"/>
  <c r="BA31" i="3"/>
  <c r="BQ31" i="3"/>
  <c r="I32" i="4" s="1"/>
  <c r="AZ10" i="3"/>
  <c r="AX10" i="3"/>
  <c r="BA20" i="3"/>
  <c r="BJ20" i="3" s="1"/>
  <c r="BQ20" i="3"/>
  <c r="I21" i="4" s="1"/>
  <c r="AY20" i="3"/>
  <c r="BA43" i="3"/>
  <c r="AY43" i="3"/>
  <c r="BQ43" i="3"/>
  <c r="BQ35" i="3"/>
  <c r="I36" i="4" s="1"/>
  <c r="BA35" i="3"/>
  <c r="BJ35" i="3" s="1"/>
  <c r="AY35" i="3"/>
  <c r="AY37" i="3"/>
  <c r="BQ37" i="3"/>
  <c r="BA37" i="3"/>
  <c r="BJ37" i="3" s="1"/>
  <c r="BJ25" i="3" l="1"/>
  <c r="BA17" i="3"/>
  <c r="AY17" i="3"/>
  <c r="BK17" i="3" s="1"/>
  <c r="BL17" i="3" s="1"/>
  <c r="BN17" i="3" s="1"/>
  <c r="BO17" i="3" s="1"/>
  <c r="BQ14" i="3"/>
  <c r="I15" i="4" s="1"/>
  <c r="BQ8" i="3"/>
  <c r="I9" i="4" s="1"/>
  <c r="BJ50" i="3"/>
  <c r="AY27" i="3"/>
  <c r="BK27" i="3" s="1"/>
  <c r="AY33" i="3"/>
  <c r="BK33" i="3" s="1"/>
  <c r="BJ36" i="3"/>
  <c r="BA33" i="3"/>
  <c r="BJ46" i="3"/>
  <c r="BQ34" i="3"/>
  <c r="I35" i="4" s="1"/>
  <c r="BA34" i="3"/>
  <c r="AY42" i="3"/>
  <c r="AA42" i="3" s="1"/>
  <c r="BA42" i="3"/>
  <c r="BJ42" i="3" s="1"/>
  <c r="BJ17" i="3"/>
  <c r="BA27" i="3"/>
  <c r="BJ27" i="3" s="1"/>
  <c r="AY21" i="3"/>
  <c r="BK21" i="3" s="1"/>
  <c r="BA21" i="3"/>
  <c r="BJ21" i="3" s="1"/>
  <c r="AY50" i="3"/>
  <c r="BK50" i="3" s="1"/>
  <c r="BQ50" i="3"/>
  <c r="AA32" i="3"/>
  <c r="AY15" i="3"/>
  <c r="BK15" i="3" s="1"/>
  <c r="BQ15" i="3"/>
  <c r="I16" i="4" s="1"/>
  <c r="BL39" i="3"/>
  <c r="BN39" i="3" s="1"/>
  <c r="BO39" i="3" s="1"/>
  <c r="BQ24" i="3"/>
  <c r="I25" i="4" s="1"/>
  <c r="BA24" i="3"/>
  <c r="BA40" i="3"/>
  <c r="BJ40" i="3" s="1"/>
  <c r="BJ33" i="3"/>
  <c r="AY40" i="3"/>
  <c r="BJ8" i="3"/>
  <c r="BK24" i="3"/>
  <c r="AA24" i="3"/>
  <c r="AY8" i="3"/>
  <c r="BA12" i="3"/>
  <c r="BJ12" i="3" s="1"/>
  <c r="BA11" i="3"/>
  <c r="BJ11" i="3" s="1"/>
  <c r="AY12" i="3"/>
  <c r="BK34" i="3"/>
  <c r="AA34" i="3"/>
  <c r="BQ11" i="3"/>
  <c r="I12" i="4" s="1"/>
  <c r="BK41" i="3"/>
  <c r="BL41" i="3" s="1"/>
  <c r="BN41" i="3" s="1"/>
  <c r="BO41" i="3" s="1"/>
  <c r="AA41" i="3"/>
  <c r="BK25" i="3"/>
  <c r="AA25" i="3"/>
  <c r="BQ36" i="3"/>
  <c r="I37" i="4" s="1"/>
  <c r="AY36" i="3"/>
  <c r="BL30" i="3"/>
  <c r="BN30" i="3" s="1"/>
  <c r="BO30" i="3" s="1"/>
  <c r="BK11" i="3"/>
  <c r="AA11" i="3"/>
  <c r="BK19" i="3"/>
  <c r="BL19" i="3" s="1"/>
  <c r="BN19" i="3" s="1"/>
  <c r="BO19" i="3" s="1"/>
  <c r="AA19" i="3"/>
  <c r="BL32" i="3"/>
  <c r="BK43" i="3"/>
  <c r="AA43" i="3"/>
  <c r="BK40" i="3"/>
  <c r="AA40" i="3"/>
  <c r="BK48" i="3"/>
  <c r="AA48" i="3"/>
  <c r="BA18" i="3"/>
  <c r="BJ18" i="3" s="1"/>
  <c r="BL7" i="3"/>
  <c r="BN7" i="3" s="1"/>
  <c r="BO7" i="3" s="1"/>
  <c r="AY18" i="3"/>
  <c r="BK42" i="3"/>
  <c r="AY14" i="3"/>
  <c r="BK23" i="3"/>
  <c r="BL23" i="3" s="1"/>
  <c r="AA23" i="3"/>
  <c r="AA21" i="3"/>
  <c r="BL16" i="3"/>
  <c r="BN16" i="3" s="1"/>
  <c r="BO16" i="3" s="1"/>
  <c r="BK20" i="3"/>
  <c r="BL20" i="3" s="1"/>
  <c r="BN20" i="3" s="1"/>
  <c r="BO20" i="3" s="1"/>
  <c r="AA20" i="3"/>
  <c r="BK31" i="3"/>
  <c r="AA31" i="3"/>
  <c r="BK45" i="3"/>
  <c r="BL45" i="3" s="1"/>
  <c r="BN45" i="3" s="1"/>
  <c r="BO45" i="3" s="1"/>
  <c r="AA45" i="3"/>
  <c r="BJ13" i="3"/>
  <c r="BK37" i="3"/>
  <c r="BL37" i="3" s="1"/>
  <c r="AA37" i="3"/>
  <c r="AY28" i="3"/>
  <c r="BK35" i="3"/>
  <c r="BL35" i="3" s="1"/>
  <c r="BN35" i="3" s="1"/>
  <c r="BO35" i="3" s="1"/>
  <c r="AA35" i="3"/>
  <c r="BK26" i="3"/>
  <c r="BL26" i="3" s="1"/>
  <c r="BN26" i="3" s="1"/>
  <c r="BO26" i="3" s="1"/>
  <c r="AA26" i="3"/>
  <c r="BK29" i="3"/>
  <c r="BL29" i="3" s="1"/>
  <c r="BN29" i="3" s="1"/>
  <c r="BO29" i="3" s="1"/>
  <c r="BT29" i="3" s="1"/>
  <c r="J30" i="4" s="1"/>
  <c r="AA29" i="3"/>
  <c r="BK46" i="3"/>
  <c r="BL46" i="3" s="1"/>
  <c r="BN46" i="3" s="1"/>
  <c r="BO46" i="3" s="1"/>
  <c r="AA46" i="3"/>
  <c r="AY13" i="3"/>
  <c r="BA22" i="3"/>
  <c r="AY22" i="3"/>
  <c r="BQ22" i="3"/>
  <c r="I23" i="4" s="1"/>
  <c r="AY9" i="3"/>
  <c r="BA9" i="3"/>
  <c r="BQ9" i="3"/>
  <c r="I10" i="4" s="1"/>
  <c r="BQ13" i="3"/>
  <c r="I14" i="4" s="1"/>
  <c r="BJ48" i="3"/>
  <c r="BQ49" i="3"/>
  <c r="BA49" i="3"/>
  <c r="AY49" i="3"/>
  <c r="BJ24" i="3"/>
  <c r="BJ31" i="3"/>
  <c r="BP44" i="3"/>
  <c r="BT44" i="3"/>
  <c r="BN32" i="3"/>
  <c r="BO32" i="3" s="1"/>
  <c r="BQ47" i="3"/>
  <c r="AY47" i="3"/>
  <c r="BA47" i="3"/>
  <c r="BJ47" i="3" s="1"/>
  <c r="BJ15" i="3"/>
  <c r="BJ14" i="3"/>
  <c r="AY10" i="3"/>
  <c r="BA10" i="3"/>
  <c r="BJ10" i="3" s="1"/>
  <c r="BQ10" i="3"/>
  <c r="I11" i="4" s="1"/>
  <c r="BJ43" i="3"/>
  <c r="BJ34" i="3"/>
  <c r="BJ28" i="3"/>
  <c r="AY38" i="3"/>
  <c r="BA38" i="3"/>
  <c r="BQ38" i="3"/>
  <c r="BL27" i="3" l="1"/>
  <c r="BN27" i="3" s="1"/>
  <c r="BL25" i="3"/>
  <c r="BN25" i="3" s="1"/>
  <c r="BO25" i="3" s="1"/>
  <c r="BP25" i="3" s="1"/>
  <c r="BL50" i="3"/>
  <c r="AA33" i="3"/>
  <c r="AA17" i="3"/>
  <c r="AA27" i="3"/>
  <c r="AA15" i="3"/>
  <c r="BL33" i="3"/>
  <c r="BN33" i="3" s="1"/>
  <c r="BL42" i="3"/>
  <c r="AA50" i="3"/>
  <c r="BL34" i="3"/>
  <c r="BN34" i="3" s="1"/>
  <c r="BO34" i="3" s="1"/>
  <c r="BL40" i="3"/>
  <c r="BN40" i="3" s="1"/>
  <c r="BO40" i="3" s="1"/>
  <c r="BL21" i="3"/>
  <c r="BN21" i="3" s="1"/>
  <c r="BO21" i="3" s="1"/>
  <c r="BP29" i="3"/>
  <c r="BL24" i="3"/>
  <c r="BN24" i="3" s="1"/>
  <c r="BO24" i="3" s="1"/>
  <c r="BP24" i="3" s="1"/>
  <c r="BL15" i="3"/>
  <c r="BN15" i="3" s="1"/>
  <c r="BO15" i="3" s="1"/>
  <c r="BL48" i="3"/>
  <c r="BN48" i="3" s="1"/>
  <c r="BO48" i="3" s="1"/>
  <c r="BK13" i="3"/>
  <c r="BL13" i="3" s="1"/>
  <c r="BN13" i="3" s="1"/>
  <c r="BO13" i="3" s="1"/>
  <c r="BP13" i="3" s="1"/>
  <c r="AA13" i="3"/>
  <c r="BK18" i="3"/>
  <c r="BL18" i="3" s="1"/>
  <c r="BN18" i="3" s="1"/>
  <c r="BO18" i="3" s="1"/>
  <c r="BT18" i="3" s="1"/>
  <c r="J19" i="4" s="1"/>
  <c r="AA18" i="3"/>
  <c r="BK12" i="3"/>
  <c r="BL12" i="3" s="1"/>
  <c r="BN12" i="3" s="1"/>
  <c r="BO12" i="3" s="1"/>
  <c r="AA12" i="3"/>
  <c r="BK36" i="3"/>
  <c r="BL36" i="3" s="1"/>
  <c r="BN36" i="3" s="1"/>
  <c r="BO36" i="3" s="1"/>
  <c r="AA36" i="3"/>
  <c r="BL11" i="3"/>
  <c r="BN11" i="3" s="1"/>
  <c r="BO11" i="3" s="1"/>
  <c r="BL31" i="3"/>
  <c r="BN31" i="3" s="1"/>
  <c r="BO31" i="3" s="1"/>
  <c r="BK10" i="3"/>
  <c r="BL10" i="3" s="1"/>
  <c r="BN10" i="3" s="1"/>
  <c r="BO10" i="3" s="1"/>
  <c r="AA10" i="3"/>
  <c r="BK38" i="3"/>
  <c r="AA38" i="3"/>
  <c r="BK8" i="3"/>
  <c r="BL8" i="3" s="1"/>
  <c r="BN8" i="3" s="1"/>
  <c r="BO8" i="3" s="1"/>
  <c r="BT8" i="3" s="1"/>
  <c r="J9" i="4" s="1"/>
  <c r="AA8" i="3"/>
  <c r="BK14" i="3"/>
  <c r="BL14" i="3" s="1"/>
  <c r="BN14" i="3" s="1"/>
  <c r="BO14" i="3" s="1"/>
  <c r="AA14" i="3"/>
  <c r="BK9" i="3"/>
  <c r="AA9" i="3"/>
  <c r="BK28" i="3"/>
  <c r="BL28" i="3" s="1"/>
  <c r="BN28" i="3" s="1"/>
  <c r="BO28" i="3" s="1"/>
  <c r="AA28" i="3"/>
  <c r="BK47" i="3"/>
  <c r="BL47" i="3" s="1"/>
  <c r="BN47" i="3" s="1"/>
  <c r="BO47" i="3" s="1"/>
  <c r="AA47" i="3"/>
  <c r="BK22" i="3"/>
  <c r="AA22" i="3"/>
  <c r="BL43" i="3"/>
  <c r="BN43" i="3" s="1"/>
  <c r="BO43" i="3" s="1"/>
  <c r="BK49" i="3"/>
  <c r="AA49" i="3"/>
  <c r="BP39" i="3"/>
  <c r="BT39" i="3"/>
  <c r="BJ9" i="3"/>
  <c r="BJ22" i="3"/>
  <c r="BJ49" i="3"/>
  <c r="BJ38" i="3"/>
  <c r="BT45" i="3"/>
  <c r="BP45" i="3"/>
  <c r="BT17" i="3"/>
  <c r="J18" i="4" s="1"/>
  <c r="BP17" i="3"/>
  <c r="BP30" i="3"/>
  <c r="BT30" i="3"/>
  <c r="J31" i="4" s="1"/>
  <c r="BP16" i="3"/>
  <c r="BT16" i="3"/>
  <c r="J17" i="4" s="1"/>
  <c r="BT20" i="3"/>
  <c r="J21" i="4" s="1"/>
  <c r="BP20" i="3"/>
  <c r="BP35" i="3"/>
  <c r="BT35" i="3"/>
  <c r="J36" i="4" s="1"/>
  <c r="BP7" i="3"/>
  <c r="BT7" i="3"/>
  <c r="J8" i="4" s="1"/>
  <c r="BT41" i="3"/>
  <c r="BP41" i="3"/>
  <c r="BT40" i="3"/>
  <c r="BP40" i="3"/>
  <c r="BN50" i="3"/>
  <c r="BO50" i="3" s="1"/>
  <c r="BT46" i="3"/>
  <c r="BP46" i="3"/>
  <c r="BT32" i="3"/>
  <c r="J33" i="4" s="1"/>
  <c r="BP32" i="3"/>
  <c r="BT26" i="3"/>
  <c r="J27" i="4" s="1"/>
  <c r="BP26" i="3"/>
  <c r="BT19" i="3"/>
  <c r="J20" i="4" s="1"/>
  <c r="BP19" i="3"/>
  <c r="BN37" i="3"/>
  <c r="BO37" i="3" s="1"/>
  <c r="BN23" i="3"/>
  <c r="BO23" i="3" s="1"/>
  <c r="BN42" i="3"/>
  <c r="BO42" i="3" s="1"/>
  <c r="BO27" i="3" l="1"/>
  <c r="BP27" i="3" s="1"/>
  <c r="BT25" i="3"/>
  <c r="J26" i="4" s="1"/>
  <c r="BT31" i="3"/>
  <c r="J32" i="4" s="1"/>
  <c r="BO33" i="3"/>
  <c r="BT33" i="3" s="1"/>
  <c r="J34" i="4" s="1"/>
  <c r="BL9" i="3"/>
  <c r="BN9" i="3" s="1"/>
  <c r="BO9" i="3" s="1"/>
  <c r="BT9" i="3" s="1"/>
  <c r="J10" i="4" s="1"/>
  <c r="BL22" i="3"/>
  <c r="BN22" i="3" s="1"/>
  <c r="BO22" i="3" s="1"/>
  <c r="BT24" i="3"/>
  <c r="J25" i="4" s="1"/>
  <c r="BP31" i="3"/>
  <c r="BP8" i="3"/>
  <c r="BL38" i="3"/>
  <c r="BN38" i="3" s="1"/>
  <c r="BO38" i="3" s="1"/>
  <c r="BT13" i="3"/>
  <c r="J14" i="4" s="1"/>
  <c r="BP11" i="3"/>
  <c r="BT11" i="3"/>
  <c r="J12" i="4" s="1"/>
  <c r="BP18" i="3"/>
  <c r="BL49" i="3"/>
  <c r="BN49" i="3" s="1"/>
  <c r="BO49" i="3" s="1"/>
  <c r="BP49" i="3" s="1"/>
  <c r="BT48" i="3"/>
  <c r="BP48" i="3"/>
  <c r="BT10" i="3"/>
  <c r="J11" i="4" s="1"/>
  <c r="BP10" i="3"/>
  <c r="BP23" i="3"/>
  <c r="BT23" i="3"/>
  <c r="J24" i="4" s="1"/>
  <c r="BP34" i="3"/>
  <c r="BT34" i="3"/>
  <c r="J35" i="4" s="1"/>
  <c r="BP21" i="3"/>
  <c r="BT21" i="3"/>
  <c r="J22" i="4" s="1"/>
  <c r="BP42" i="3"/>
  <c r="BT42" i="3"/>
  <c r="BP28" i="3"/>
  <c r="BT28" i="3"/>
  <c r="J29" i="4" s="1"/>
  <c r="BP36" i="3"/>
  <c r="BT36" i="3"/>
  <c r="J37" i="4" s="1"/>
  <c r="BT50" i="3"/>
  <c r="BP50" i="3"/>
  <c r="BP14" i="3"/>
  <c r="BT14" i="3"/>
  <c r="J15" i="4" s="1"/>
  <c r="BT15" i="3"/>
  <c r="J16" i="4" s="1"/>
  <c r="BP15" i="3"/>
  <c r="BT47" i="3"/>
  <c r="BP47" i="3"/>
  <c r="BP37" i="3"/>
  <c r="BT37" i="3"/>
  <c r="BT12" i="3"/>
  <c r="J13" i="4" s="1"/>
  <c r="BP12" i="3"/>
  <c r="BP43" i="3"/>
  <c r="BT43" i="3"/>
  <c r="BT27" i="3" l="1"/>
  <c r="J28" i="4" s="1"/>
  <c r="BP33" i="3"/>
  <c r="BP9" i="3"/>
  <c r="BP22" i="3"/>
  <c r="BT22" i="3"/>
  <c r="J23" i="4" s="1"/>
  <c r="BT49" i="3"/>
  <c r="BT38" i="3"/>
  <c r="BP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Uniform credit cost on all grades. Update if credit terms change.</t>
        </r>
      </text>
    </comment>
    <comment ref="A6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BF prefix + shade: 24GY, 25WTL, 14DUP, 26HRCT, 40VKL. Blank=natural kraft.</t>
        </r>
      </text>
    </comment>
    <comment ref="C6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Ex-mill rate from vendor quotation.</t>
        </r>
      </text>
    </comment>
    <comment ref="D6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= Price × Credit % (B4). Auto-calculated.</t>
        </r>
      </text>
    </comment>
    <comment ref="E6" authorId="0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Trade discount. 0 if none.</t>
        </r>
      </text>
    </comment>
    <comment ref="F6" authorId="0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= Price + Credit − Discount. Referenced by CBB+PP via VLOOKUP.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2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Flute type code: A, B, C or E</t>
        </r>
      </text>
    </comment>
    <comment ref="N2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Used by CBB+PP formulas via VLOOKUP. Update only with confirmed plant data.</t>
        </r>
      </text>
    </comment>
    <comment ref="N3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CBB reads this column via VLOOKUP(flute,M3:N6,2,0).</t>
        </r>
      </text>
    </comment>
    <comment ref="N4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CBB reads this column via VLOOKUP(flute,M3:N6,2,0).</t>
        </r>
      </text>
    </comment>
    <comment ref="N5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CBB reads this column via VLOOKUP(flute,M3:N6,2,0).</t>
        </r>
      </text>
    </comment>
    <comment ref="N6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CBB reads this column via VLOOKUP(flute,M3:N6,2,0).</t>
        </r>
      </text>
    </comment>
    <comment ref="I29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Inter-blank gap in deckle per Up. Only RSC uses 10mm. All others = 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Select the plant producing this order.
Drives BOTH take-up factors (Calc GSM &amp; BS) and freight rates (via DEFAULTS matrix).
Plant options match the column headers in DEFAULTS take-up table (row 2, cols N-Q)
and freight table (row 3, cols T-V).</t>
        </r>
      </text>
    </comment>
    <comment ref="D3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Select sector. Waste% and Conv rates auto-populate.</t>
        </r>
      </text>
    </comment>
    <comment ref="BA3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RS4 rate (Rs/kg): Conv rate for RS4 boxes. Auto from sector defaults.</t>
        </r>
      </text>
    </comment>
    <comment ref="BB3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RS4 rate (Rs/pc): Printing charge per box. 0 if plain/unprinted.</t>
        </r>
      </text>
    </comment>
    <comment ref="BC3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RS4 rate (Rs/pc): Manual stitching. Solar/V-box corners.</t>
        </r>
      </text>
    </comment>
    <comment ref="BD3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RS4 rate (Rs/pc): Chemical moisture coating (ice cream), other surface treatment.</t>
        </r>
      </text>
    </comment>
    <comment ref="BE3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RS4 rate (Rs/pc): Non-standard size premium (very small or very large boxes).</t>
        </r>
      </text>
    </comment>
    <comment ref="BF3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RS4 rate (Rs/pc): Short-run premium when order qty &lt; MOQ.</t>
        </r>
      </text>
    </comment>
    <comment ref="BG3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RS4 rate (Rs/pc): PP bag, strapping, outer box. 0 if none.</t>
        </r>
      </text>
    </comment>
    <comment ref="BH3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RS4 rate (Rs/pc): Any other cost not covered above (cloth binding, special handling, etc.).</t>
        </r>
      </text>
    </comment>
    <comment ref="BI3" authorId="0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RS4 rate (Rs/pc): Unloading at client site if borne by us. 0 if on customer account.</t>
        </r>
      </text>
    </comment>
    <comment ref="BJ3" authorId="0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RS4 rate (%): Interest % applied to total of all cost components above.</t>
        </r>
      </text>
    </comment>
    <comment ref="BK3" authorId="0" shapeId="0" xr:uid="{00000000-0006-0000-0200-00000D000000}">
      <text>
        <r>
          <rPr>
            <sz val="11"/>
            <color theme="1"/>
            <rFont val="Calibri"/>
            <family val="2"/>
            <charset val="1"/>
          </rPr>
          <t>Default freight rate (Rs/kg): used when delivery location (col E) is not found in DEFAULTS freight table.
Plant-specific rates auto-resolve via VLOOKUP when location IS found.</t>
        </r>
      </text>
    </comment>
    <comment ref="BM3" authorId="0" shapeId="0" xr:uid="{00000000-0006-0000-0200-00000E000000}">
      <text>
        <r>
          <rPr>
            <sz val="11"/>
            <color theme="1"/>
            <rFont val="Calibri"/>
            <family val="2"/>
            <charset val="1"/>
          </rPr>
          <t>Default margin for all RS4 rows.</t>
        </r>
      </text>
    </comment>
    <comment ref="BA4" authorId="0" shapeId="0" xr:uid="{00000000-0006-0000-0200-00000F000000}">
      <text>
        <r>
          <rPr>
            <sz val="11"/>
            <color theme="1"/>
            <rFont val="Calibri"/>
            <family val="2"/>
            <charset val="1"/>
          </rPr>
          <t>Board/PP rate (Rs/kg): Conv rate for Board/PP items. Typically higher (smaller pieces, more handling).</t>
        </r>
      </text>
    </comment>
    <comment ref="BB4" authorId="0" shapeId="0" xr:uid="{00000000-0006-0000-0200-000010000000}">
      <text>
        <r>
          <rPr>
            <sz val="11"/>
            <color theme="1"/>
            <rFont val="Calibri"/>
            <family val="2"/>
            <charset val="1"/>
          </rPr>
          <t>Board/PP rate (Rs/pc): Usually 0 for Board items.</t>
        </r>
      </text>
    </comment>
    <comment ref="BC4" authorId="0" shapeId="0" xr:uid="{00000000-0006-0000-0200-000011000000}">
      <text>
        <r>
          <rPr>
            <sz val="11"/>
            <color theme="1"/>
            <rFont val="Calibri"/>
            <family val="2"/>
            <charset val="1"/>
          </rPr>
          <t>Board/PP rate (Rs/pc): Usually 0 for Board items.</t>
        </r>
      </text>
    </comment>
    <comment ref="BD4" authorId="0" shapeId="0" xr:uid="{00000000-0006-0000-0200-000012000000}">
      <text>
        <r>
          <rPr>
            <sz val="11"/>
            <color theme="1"/>
            <rFont val="Calibri"/>
            <family val="2"/>
            <charset val="1"/>
          </rPr>
          <t>Board rate (Rs/pc).</t>
        </r>
      </text>
    </comment>
    <comment ref="BE4" authorId="0" shapeId="0" xr:uid="{00000000-0006-0000-0200-000013000000}">
      <text>
        <r>
          <rPr>
            <sz val="11"/>
            <color theme="1"/>
            <rFont val="Calibri"/>
            <family val="2"/>
            <charset val="1"/>
          </rPr>
          <t>Board rate (Rs/pc).</t>
        </r>
      </text>
    </comment>
    <comment ref="BF4" authorId="0" shapeId="0" xr:uid="{00000000-0006-0000-0200-000014000000}">
      <text>
        <r>
          <rPr>
            <sz val="11"/>
            <color theme="1"/>
            <rFont val="Calibri"/>
            <family val="2"/>
            <charset val="1"/>
          </rPr>
          <t>Board rate (Rs/pc).</t>
        </r>
      </text>
    </comment>
    <comment ref="BG4" authorId="0" shapeId="0" xr:uid="{00000000-0006-0000-0200-000015000000}">
      <text>
        <r>
          <rPr>
            <sz val="11"/>
            <color theme="1"/>
            <rFont val="Calibri"/>
            <family val="2"/>
            <charset val="1"/>
          </rPr>
          <t>Board/PP rate (Rs/pc): Packing charge for Board items.</t>
        </r>
      </text>
    </comment>
    <comment ref="BH4" authorId="0" shapeId="0" xr:uid="{00000000-0006-0000-0200-000016000000}">
      <text>
        <r>
          <rPr>
            <sz val="11"/>
            <color theme="1"/>
            <rFont val="Calibri"/>
            <family val="2"/>
            <charset val="1"/>
          </rPr>
          <t>Board rate (Rs/pc).</t>
        </r>
      </text>
    </comment>
    <comment ref="BI4" authorId="0" shapeId="0" xr:uid="{00000000-0006-0000-0200-000017000000}">
      <text>
        <r>
          <rPr>
            <sz val="11"/>
            <color theme="1"/>
            <rFont val="Calibri"/>
            <family val="2"/>
            <charset val="1"/>
          </rPr>
          <t>Board rate (Rs/pc).</t>
        </r>
      </text>
    </comment>
    <comment ref="BJ4" authorId="0" shapeId="0" xr:uid="{00000000-0006-0000-0200-000018000000}">
      <text>
        <r>
          <rPr>
            <sz val="11"/>
            <color theme="1"/>
            <rFont val="Calibri"/>
            <family val="2"/>
            <charset val="1"/>
          </rPr>
          <t>Board/PP rate (%): Same interest rate for Board rows.</t>
        </r>
      </text>
    </comment>
    <comment ref="BK4" authorId="0" shapeId="0" xr:uid="{00000000-0006-0000-0200-000019000000}">
      <text>
        <r>
          <rPr>
            <sz val="11"/>
            <color theme="1"/>
            <rFont val="Calibri"/>
            <family val="2"/>
            <charset val="1"/>
          </rPr>
          <t>Board/PP rate (Rs/kg): Same location table applies. Override per SKU by typing directly in AX column.</t>
        </r>
      </text>
    </comment>
    <comment ref="BM4" authorId="0" shapeId="0" xr:uid="{00000000-0006-0000-0200-00001A000000}">
      <text>
        <r>
          <rPr>
            <sz val="11"/>
            <color theme="1"/>
            <rFont val="Calibri"/>
            <family val="2"/>
            <charset val="1"/>
          </rPr>
          <t>Default margin for all Board rows.</t>
        </r>
      </text>
    </comment>
    <comment ref="A6" authorId="0" shapeId="0" xr:uid="{00000000-0006-0000-0200-00001B000000}">
      <text>
        <r>
          <rPr>
            <sz val="11"/>
            <color theme="1"/>
            <rFont val="Calibri"/>
            <family val="2"/>
            <charset val="1"/>
          </rPr>
          <t>RS4→1,2,3; Plate→1a; Part-L→1b; Part-W→1c</t>
        </r>
      </text>
    </comment>
    <comment ref="B6" authorId="0" shapeId="0" xr:uid="{00000000-0006-0000-0200-00001C000000}">
      <text>
        <r>
          <rPr>
            <sz val="11"/>
            <color theme="1"/>
            <rFont val="Calibri"/>
            <family val="2"/>
            <charset val="1"/>
          </rPr>
          <t>RS4=main box. Plate=liner plate. Part-L=partition length. Part-W=partition width.</t>
        </r>
      </text>
    </comment>
    <comment ref="E6" authorId="0" shapeId="0" xr:uid="{00000000-0006-0000-0200-00001D000000}">
      <text>
        <r>
          <rPr>
            <sz val="11"/>
            <color theme="1"/>
            <rFont val="Calibri"/>
            <family val="2"/>
            <charset val="1"/>
          </rPr>
          <t>Also used for freight rate VLOOKUP to DEFAULTS location table (cols S-T).</t>
        </r>
      </text>
    </comment>
    <comment ref="I6" authorId="0" shapeId="0" xr:uid="{00000000-0006-0000-0200-00001E000000}">
      <text>
        <r>
          <rPr>
            <sz val="11"/>
            <color theme="1"/>
            <rFont val="Calibri"/>
            <family val="2"/>
            <charset val="1"/>
          </rPr>
          <t>Select: RSC/HRSC-R/HRSC-L/HRSC-O/Die-S/Die-R/Board/Custom. Auto-fills trim margins L–O.</t>
        </r>
      </text>
    </comment>
    <comment ref="K6" authorId="0" shapeId="0" xr:uid="{00000000-0006-0000-0200-00001F000000}">
      <text>
        <r>
          <rPr>
            <sz val="11"/>
            <color theme="1"/>
            <rFont val="Calibri"/>
            <family val="2"/>
            <charset val="1"/>
          </rPr>
          <t>Blanks cut per sheet. Default=1. Deckle = blank_width×Ups+trim. Area per box = Deckle×Cutting/Ups.</t>
        </r>
      </text>
    </comment>
    <comment ref="L6" authorId="0" shapeId="0" xr:uid="{00000000-0006-0000-0200-000020000000}">
      <text>
        <r>
          <rPr>
            <sz val="11"/>
            <color theme="1"/>
            <rFont val="Calibri"/>
            <family val="2"/>
            <charset val="1"/>
          </rPr>
          <t>Auto from Box Type. Override allowed for Custom only — other box types shown in orange if changed.</t>
        </r>
      </text>
    </comment>
    <comment ref="M6" authorId="0" shapeId="0" xr:uid="{00000000-0006-0000-0200-000021000000}">
      <text>
        <r>
          <rPr>
            <sz val="11"/>
            <color theme="1"/>
            <rFont val="Calibri"/>
            <family val="2"/>
            <charset val="1"/>
          </rPr>
          <t>Auto from Box Type.</t>
        </r>
      </text>
    </comment>
    <comment ref="N6" authorId="0" shapeId="0" xr:uid="{00000000-0006-0000-0200-000022000000}">
      <text>
        <r>
          <rPr>
            <sz val="11"/>
            <color theme="1"/>
            <rFont val="Calibri"/>
            <family val="2"/>
            <charset val="1"/>
          </rPr>
          <t>Auto from Box Type.</t>
        </r>
      </text>
    </comment>
    <comment ref="O6" authorId="0" shapeId="0" xr:uid="{00000000-0006-0000-0200-000023000000}">
      <text>
        <r>
          <rPr>
            <sz val="11"/>
            <color theme="1"/>
            <rFont val="Calibri"/>
            <family val="2"/>
            <charset val="1"/>
          </rPr>
          <t>Auto from Box Type.</t>
        </r>
      </text>
    </comment>
    <comment ref="P6" authorId="0" shapeId="0" xr:uid="{00000000-0006-0000-0200-000024000000}">
      <text>
        <r>
          <rPr>
            <sz val="11"/>
            <color theme="1"/>
            <rFont val="Calibri"/>
            <family val="2"/>
            <charset val="1"/>
          </rPr>
          <t>Full sheet deckle = blank_width × Ups + trim.</t>
        </r>
      </text>
    </comment>
    <comment ref="Q6" authorId="0" shapeId="0" xr:uid="{00000000-0006-0000-0200-000025000000}">
      <text>
        <r>
          <rPr>
            <sz val="11"/>
            <color theme="1"/>
            <rFont val="Calibri"/>
            <family val="2"/>
            <charset val="1"/>
          </rPr>
          <t>Full sheet cutting = (L+W)×2 + trim.</t>
        </r>
      </text>
    </comment>
    <comment ref="R6" authorId="0" shapeId="0" xr:uid="{00000000-0006-0000-0200-000026000000}">
      <text>
        <r>
          <rPr>
            <sz val="11"/>
            <color theme="1"/>
            <rFont val="Calibri"/>
            <family val="2"/>
            <charset val="1"/>
          </rPr>
          <t>Per-box area = Deckle×Cutting/1e6/Ups.</t>
        </r>
      </text>
    </comment>
    <comment ref="S6" authorId="0" shapeId="0" xr:uid="{00000000-0006-0000-0200-000027000000}">
      <text>
        <r>
          <rPr>
            <sz val="11"/>
            <color theme="1"/>
            <rFont val="Calibri"/>
            <family val="2"/>
            <charset val="1"/>
          </rPr>
          <t>Client spec board GSM.</t>
        </r>
      </text>
    </comment>
    <comment ref="T6" authorId="0" shapeId="0" xr:uid="{00000000-0006-0000-0200-000028000000}">
      <text>
        <r>
          <rPr>
            <sz val="11"/>
            <color theme="1"/>
            <rFont val="Calibri"/>
            <family val="2"/>
            <charset val="1"/>
          </rPr>
          <t>Σ(liner GSM) + Σ(flute GSM × TU). Should match Std ±5%.</t>
        </r>
      </text>
    </comment>
    <comment ref="V6" authorId="0" shapeId="0" xr:uid="{00000000-0006-0000-0200-000029000000}">
      <text>
        <r>
          <rPr>
            <sz val="11"/>
            <color theme="1"/>
            <rFont val="Calibri"/>
            <family val="2"/>
            <charset val="1"/>
          </rPr>
          <t>Liner: BF_adj×GSM/1200. Flute: BF_adj×GSM×TU/2400. BF35→33. TU via VLOOKUP.</t>
        </r>
      </text>
    </comment>
    <comment ref="AL6" authorId="0" shapeId="0" xr:uid="{00000000-0006-0000-0200-00002A000000}">
      <text>
        <r>
          <rPr>
            <sz val="11"/>
            <color theme="1"/>
            <rFont val="Calibri"/>
            <family val="2"/>
            <charset val="1"/>
          </rPr>
          <t>Enter separately — do not assume equal to TOP.</t>
        </r>
      </text>
    </comment>
    <comment ref="AM6" authorId="0" shapeId="0" xr:uid="{00000000-0006-0000-0200-00002B000000}">
      <text>
        <r>
          <rPr>
            <sz val="11"/>
            <color theme="1"/>
            <rFont val="Calibri"/>
            <family val="2"/>
            <charset val="1"/>
          </rPr>
          <t>Enter separately.</t>
        </r>
      </text>
    </comment>
    <comment ref="BA6" authorId="0" shapeId="0" xr:uid="{00000000-0006-0000-0200-00002C000000}">
      <text>
        <r>
          <rPr>
            <sz val="11"/>
            <color theme="1"/>
            <rFont val="Calibri"/>
            <family val="2"/>
            <charset val="1"/>
          </rPr>
          <t>Sheet Wt × rate from AW3 (RS4) or AW4 (Board).</t>
        </r>
      </text>
    </comment>
    <comment ref="BB6" authorId="0" shapeId="0" xr:uid="{00000000-0006-0000-0200-00002D000000}">
      <text>
        <r>
          <rPr>
            <sz val="11"/>
            <color theme="1"/>
            <rFont val="Calibri"/>
            <family val="2"/>
            <charset val="1"/>
          </rPr>
          <t>Flat per box, from AY3 (RS4) or AY4 (Board).</t>
        </r>
      </text>
    </comment>
    <comment ref="BH6" authorId="0" shapeId="0" xr:uid="{00000000-0006-0000-0200-00002E000000}">
      <text>
        <r>
          <rPr>
            <sz val="11"/>
            <color theme="1"/>
            <rFont val="Calibri"/>
            <family val="2"/>
            <charset val="1"/>
          </rPr>
          <t>Cloth binding, special finishing, or any unlisted cost component.</t>
        </r>
      </text>
    </comment>
    <comment ref="BJ6" authorId="0" shapeId="0" xr:uid="{00000000-0006-0000-0200-00002F000000}">
      <text>
        <r>
          <rPr>
            <sz val="11"/>
            <color theme="1"/>
            <rFont val="Calibri"/>
            <family val="2"/>
            <charset val="1"/>
          </rPr>
          <t>SUM(AV:BF) × BG3.</t>
        </r>
      </text>
    </comment>
    <comment ref="BK6" authorId="0" shapeId="0" xr:uid="{00000000-0006-0000-0200-000030000000}">
      <text>
        <r>
          <rPr>
            <sz val="11"/>
            <color theme="1"/>
            <rFont val="Calibri"/>
            <family val="2"/>
            <charset val="1"/>
          </rPr>
          <t>Sheet Wt × location rate (from DEFAULTS S-T) or AX3/AX4 default.</t>
        </r>
      </text>
    </comment>
    <comment ref="BM6" authorId="0" shapeId="0" xr:uid="{00000000-0006-0000-0200-000031000000}">
      <text>
        <r>
          <rPr>
            <sz val="11"/>
            <color theme="1"/>
            <rFont val="Calibri"/>
            <family val="2"/>
            <charset val="1"/>
          </rPr>
          <t>Default E3 (RS4) or E3 (Board). Override per row.</t>
        </r>
      </text>
    </comment>
    <comment ref="BO6" authorId="0" shapeId="0" xr:uid="{00000000-0006-0000-0200-000032000000}">
      <text>
        <r>
          <rPr>
            <sz val="11"/>
            <color theme="1"/>
            <rFont val="Calibri"/>
            <family val="2"/>
            <charset val="1"/>
          </rPr>
          <t>Total+Margin, MROUND 0.05.</t>
        </r>
      </text>
    </comment>
    <comment ref="BQ6" authorId="0" shapeId="0" xr:uid="{00000000-0006-0000-0200-000033000000}">
      <text>
        <r>
          <rPr>
            <sz val="11"/>
            <color theme="1"/>
            <rFont val="Calibri"/>
            <family val="2"/>
            <charset val="1"/>
          </rPr>
          <t>PLY × 1100 / Sheet Wt, rounded to nearest 100.</t>
        </r>
      </text>
    </comment>
    <comment ref="F7" authorId="0" shapeId="0" xr:uid="{00000000-0006-0000-0200-000034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7" authorId="0" shapeId="0" xr:uid="{00000000-0006-0000-0200-000035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7" authorId="0" shapeId="0" xr:uid="{00000000-0006-0000-0200-00003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7" authorId="0" shapeId="0" xr:uid="{00000000-0006-0000-0200-00003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7" authorId="0" shapeId="0" xr:uid="{00000000-0006-0000-0200-00003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7" authorId="0" shapeId="0" xr:uid="{00000000-0006-0000-0200-00003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7" authorId="0" shapeId="0" xr:uid="{00000000-0006-0000-0200-00003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7" authorId="0" shapeId="0" xr:uid="{00000000-0006-0000-0200-00003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7" authorId="0" shapeId="0" xr:uid="{00000000-0006-0000-0200-00003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7" authorId="0" shapeId="0" xr:uid="{00000000-0006-0000-0200-00003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7" authorId="0" shapeId="0" xr:uid="{00000000-0006-0000-0200-00003E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7" authorId="0" shapeId="0" xr:uid="{00000000-0006-0000-0200-00003F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8" authorId="0" shapeId="0" xr:uid="{00000000-0006-0000-0200-000040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8" authorId="0" shapeId="0" xr:uid="{00000000-0006-0000-0200-000041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8" authorId="0" shapeId="0" xr:uid="{00000000-0006-0000-0200-00004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8" authorId="0" shapeId="0" xr:uid="{00000000-0006-0000-0200-00004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8" authorId="0" shapeId="0" xr:uid="{00000000-0006-0000-0200-00004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8" authorId="0" shapeId="0" xr:uid="{00000000-0006-0000-0200-00004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8" authorId="0" shapeId="0" xr:uid="{00000000-0006-0000-0200-00004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8" authorId="0" shapeId="0" xr:uid="{00000000-0006-0000-0200-00004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8" authorId="0" shapeId="0" xr:uid="{00000000-0006-0000-0200-00004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8" authorId="0" shapeId="0" xr:uid="{00000000-0006-0000-0200-00004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8" authorId="0" shapeId="0" xr:uid="{00000000-0006-0000-0200-00004A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8" authorId="0" shapeId="0" xr:uid="{00000000-0006-0000-0200-00004B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9" authorId="0" shapeId="0" xr:uid="{00000000-0006-0000-0200-00004C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9" authorId="0" shapeId="0" xr:uid="{00000000-0006-0000-0200-00004D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9" authorId="0" shapeId="0" xr:uid="{00000000-0006-0000-0200-00004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9" authorId="0" shapeId="0" xr:uid="{00000000-0006-0000-0200-00004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9" authorId="0" shapeId="0" xr:uid="{00000000-0006-0000-0200-00005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9" authorId="0" shapeId="0" xr:uid="{00000000-0006-0000-0200-00005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9" authorId="0" shapeId="0" xr:uid="{00000000-0006-0000-0200-00005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9" authorId="0" shapeId="0" xr:uid="{00000000-0006-0000-0200-00005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9" authorId="0" shapeId="0" xr:uid="{00000000-0006-0000-0200-00005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9" authorId="0" shapeId="0" xr:uid="{00000000-0006-0000-0200-00005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9" authorId="0" shapeId="0" xr:uid="{00000000-0006-0000-0200-000056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9" authorId="0" shapeId="0" xr:uid="{00000000-0006-0000-0200-000057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0" authorId="0" shapeId="0" xr:uid="{00000000-0006-0000-0200-000058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0" authorId="0" shapeId="0" xr:uid="{00000000-0006-0000-0200-000059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0" authorId="0" shapeId="0" xr:uid="{00000000-0006-0000-0200-00005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0" authorId="0" shapeId="0" xr:uid="{00000000-0006-0000-0200-00005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0" authorId="0" shapeId="0" xr:uid="{00000000-0006-0000-0200-00005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0" authorId="0" shapeId="0" xr:uid="{00000000-0006-0000-0200-00005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0" authorId="0" shapeId="0" xr:uid="{00000000-0006-0000-0200-00005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0" authorId="0" shapeId="0" xr:uid="{00000000-0006-0000-0200-00005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0" authorId="0" shapeId="0" xr:uid="{00000000-0006-0000-0200-00006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0" authorId="0" shapeId="0" xr:uid="{00000000-0006-0000-0200-00006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0" authorId="0" shapeId="0" xr:uid="{00000000-0006-0000-0200-000062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0" authorId="0" shapeId="0" xr:uid="{00000000-0006-0000-0200-000063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1" authorId="0" shapeId="0" xr:uid="{00000000-0006-0000-0200-000064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1" authorId="0" shapeId="0" xr:uid="{00000000-0006-0000-0200-000065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1" authorId="0" shapeId="0" xr:uid="{00000000-0006-0000-0200-00006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1" authorId="0" shapeId="0" xr:uid="{00000000-0006-0000-0200-00006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1" authorId="0" shapeId="0" xr:uid="{00000000-0006-0000-0200-00006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1" authorId="0" shapeId="0" xr:uid="{00000000-0006-0000-0200-00006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1" authorId="0" shapeId="0" xr:uid="{00000000-0006-0000-0200-00006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1" authorId="0" shapeId="0" xr:uid="{00000000-0006-0000-0200-00006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1" authorId="0" shapeId="0" xr:uid="{00000000-0006-0000-0200-00006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1" authorId="0" shapeId="0" xr:uid="{00000000-0006-0000-0200-00006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1" authorId="0" shapeId="0" xr:uid="{00000000-0006-0000-0200-00006E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1" authorId="0" shapeId="0" xr:uid="{00000000-0006-0000-0200-00006F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2" authorId="0" shapeId="0" xr:uid="{00000000-0006-0000-0200-000070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2" authorId="0" shapeId="0" xr:uid="{00000000-0006-0000-0200-000071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2" authorId="0" shapeId="0" xr:uid="{00000000-0006-0000-0200-00007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2" authorId="0" shapeId="0" xr:uid="{00000000-0006-0000-0200-00007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2" authorId="0" shapeId="0" xr:uid="{00000000-0006-0000-0200-00007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2" authorId="0" shapeId="0" xr:uid="{00000000-0006-0000-0200-00007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2" authorId="0" shapeId="0" xr:uid="{00000000-0006-0000-0200-00007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2" authorId="0" shapeId="0" xr:uid="{00000000-0006-0000-0200-00007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2" authorId="0" shapeId="0" xr:uid="{00000000-0006-0000-0200-00007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2" authorId="0" shapeId="0" xr:uid="{00000000-0006-0000-0200-00007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2" authorId="0" shapeId="0" xr:uid="{00000000-0006-0000-0200-00007A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2" authorId="0" shapeId="0" xr:uid="{00000000-0006-0000-0200-00007B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3" authorId="0" shapeId="0" xr:uid="{00000000-0006-0000-0200-00007C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3" authorId="0" shapeId="0" xr:uid="{00000000-0006-0000-0200-00007D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3" authorId="0" shapeId="0" xr:uid="{00000000-0006-0000-0200-00007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3" authorId="0" shapeId="0" xr:uid="{00000000-0006-0000-0200-00007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3" authorId="0" shapeId="0" xr:uid="{00000000-0006-0000-0200-00008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3" authorId="0" shapeId="0" xr:uid="{00000000-0006-0000-0200-00008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3" authorId="0" shapeId="0" xr:uid="{00000000-0006-0000-0200-00008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3" authorId="0" shapeId="0" xr:uid="{00000000-0006-0000-0200-00008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3" authorId="0" shapeId="0" xr:uid="{00000000-0006-0000-0200-00008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3" authorId="0" shapeId="0" xr:uid="{00000000-0006-0000-0200-00008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3" authorId="0" shapeId="0" xr:uid="{00000000-0006-0000-0200-000086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3" authorId="0" shapeId="0" xr:uid="{00000000-0006-0000-0200-000087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4" authorId="0" shapeId="0" xr:uid="{00000000-0006-0000-0200-000088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4" authorId="0" shapeId="0" xr:uid="{00000000-0006-0000-0200-000089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4" authorId="0" shapeId="0" xr:uid="{00000000-0006-0000-0200-00008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4" authorId="0" shapeId="0" xr:uid="{00000000-0006-0000-0200-00008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4" authorId="0" shapeId="0" xr:uid="{00000000-0006-0000-0200-00008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4" authorId="0" shapeId="0" xr:uid="{00000000-0006-0000-0200-00008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4" authorId="0" shapeId="0" xr:uid="{00000000-0006-0000-0200-00008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4" authorId="0" shapeId="0" xr:uid="{00000000-0006-0000-0200-00008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4" authorId="0" shapeId="0" xr:uid="{00000000-0006-0000-0200-00009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4" authorId="0" shapeId="0" xr:uid="{00000000-0006-0000-0200-00009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4" authorId="0" shapeId="0" xr:uid="{00000000-0006-0000-0200-000092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4" authorId="0" shapeId="0" xr:uid="{00000000-0006-0000-0200-000093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5" authorId="0" shapeId="0" xr:uid="{00000000-0006-0000-0200-000094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5" authorId="0" shapeId="0" xr:uid="{00000000-0006-0000-0200-000095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5" authorId="0" shapeId="0" xr:uid="{00000000-0006-0000-0200-00009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5" authorId="0" shapeId="0" xr:uid="{00000000-0006-0000-0200-00009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5" authorId="0" shapeId="0" xr:uid="{00000000-0006-0000-0200-00009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5" authorId="0" shapeId="0" xr:uid="{00000000-0006-0000-0200-00009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5" authorId="0" shapeId="0" xr:uid="{00000000-0006-0000-0200-00009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5" authorId="0" shapeId="0" xr:uid="{00000000-0006-0000-0200-00009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5" authorId="0" shapeId="0" xr:uid="{00000000-0006-0000-0200-00009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5" authorId="0" shapeId="0" xr:uid="{00000000-0006-0000-0200-00009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5" authorId="0" shapeId="0" xr:uid="{00000000-0006-0000-0200-00009E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5" authorId="0" shapeId="0" xr:uid="{00000000-0006-0000-0200-00009F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6" authorId="0" shapeId="0" xr:uid="{00000000-0006-0000-0200-0000A0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6" authorId="0" shapeId="0" xr:uid="{00000000-0006-0000-0200-0000A1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6" authorId="0" shapeId="0" xr:uid="{00000000-0006-0000-0200-0000A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6" authorId="0" shapeId="0" xr:uid="{00000000-0006-0000-0200-0000A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6" authorId="0" shapeId="0" xr:uid="{00000000-0006-0000-0200-0000A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6" authorId="0" shapeId="0" xr:uid="{00000000-0006-0000-0200-0000A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6" authorId="0" shapeId="0" xr:uid="{00000000-0006-0000-0200-0000A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6" authorId="0" shapeId="0" xr:uid="{00000000-0006-0000-0200-0000A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6" authorId="0" shapeId="0" xr:uid="{00000000-0006-0000-0200-0000A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6" authorId="0" shapeId="0" xr:uid="{00000000-0006-0000-0200-0000A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6" authorId="0" shapeId="0" xr:uid="{00000000-0006-0000-0200-0000AA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6" authorId="0" shapeId="0" xr:uid="{00000000-0006-0000-0200-0000AB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7" authorId="0" shapeId="0" xr:uid="{00000000-0006-0000-0200-0000AC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7" authorId="0" shapeId="0" xr:uid="{00000000-0006-0000-0200-0000AD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7" authorId="0" shapeId="0" xr:uid="{00000000-0006-0000-0200-0000A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7" authorId="0" shapeId="0" xr:uid="{00000000-0006-0000-0200-0000A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7" authorId="0" shapeId="0" xr:uid="{00000000-0006-0000-0200-0000B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7" authorId="0" shapeId="0" xr:uid="{00000000-0006-0000-0200-0000B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7" authorId="0" shapeId="0" xr:uid="{00000000-0006-0000-0200-0000B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7" authorId="0" shapeId="0" xr:uid="{00000000-0006-0000-0200-0000B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7" authorId="0" shapeId="0" xr:uid="{00000000-0006-0000-0200-0000B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7" authorId="0" shapeId="0" xr:uid="{00000000-0006-0000-0200-0000B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7" authorId="0" shapeId="0" xr:uid="{00000000-0006-0000-0200-0000B6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7" authorId="0" shapeId="0" xr:uid="{00000000-0006-0000-0200-0000B7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8" authorId="0" shapeId="0" xr:uid="{00000000-0006-0000-0200-0000B8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8" authorId="0" shapeId="0" xr:uid="{00000000-0006-0000-0200-0000B9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8" authorId="0" shapeId="0" xr:uid="{00000000-0006-0000-0200-0000B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8" authorId="0" shapeId="0" xr:uid="{00000000-0006-0000-0200-0000B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8" authorId="0" shapeId="0" xr:uid="{00000000-0006-0000-0200-0000B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8" authorId="0" shapeId="0" xr:uid="{00000000-0006-0000-0200-0000B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8" authorId="0" shapeId="0" xr:uid="{00000000-0006-0000-0200-0000B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8" authorId="0" shapeId="0" xr:uid="{00000000-0006-0000-0200-0000B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8" authorId="0" shapeId="0" xr:uid="{00000000-0006-0000-0200-0000C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8" authorId="0" shapeId="0" xr:uid="{00000000-0006-0000-0200-0000C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8" authorId="0" shapeId="0" xr:uid="{00000000-0006-0000-0200-0000C2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8" authorId="0" shapeId="0" xr:uid="{00000000-0006-0000-0200-0000C3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19" authorId="0" shapeId="0" xr:uid="{00000000-0006-0000-0200-0000C4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19" authorId="0" shapeId="0" xr:uid="{00000000-0006-0000-0200-0000C5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19" authorId="0" shapeId="0" xr:uid="{00000000-0006-0000-0200-0000C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19" authorId="0" shapeId="0" xr:uid="{00000000-0006-0000-0200-0000C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19" authorId="0" shapeId="0" xr:uid="{00000000-0006-0000-0200-0000C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19" authorId="0" shapeId="0" xr:uid="{00000000-0006-0000-0200-0000C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19" authorId="0" shapeId="0" xr:uid="{00000000-0006-0000-0200-0000C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19" authorId="0" shapeId="0" xr:uid="{00000000-0006-0000-0200-0000C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19" authorId="0" shapeId="0" xr:uid="{00000000-0006-0000-0200-0000C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19" authorId="0" shapeId="0" xr:uid="{00000000-0006-0000-0200-0000C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19" authorId="0" shapeId="0" xr:uid="{00000000-0006-0000-0200-0000CE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19" authorId="0" shapeId="0" xr:uid="{00000000-0006-0000-0200-0000CF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0" authorId="0" shapeId="0" xr:uid="{00000000-0006-0000-0200-0000D0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0" authorId="0" shapeId="0" xr:uid="{00000000-0006-0000-0200-0000D1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0" authorId="0" shapeId="0" xr:uid="{00000000-0006-0000-0200-0000D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0" authorId="0" shapeId="0" xr:uid="{00000000-0006-0000-0200-0000D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0" authorId="0" shapeId="0" xr:uid="{00000000-0006-0000-0200-0000D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0" authorId="0" shapeId="0" xr:uid="{00000000-0006-0000-0200-0000D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0" authorId="0" shapeId="0" xr:uid="{00000000-0006-0000-0200-0000D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0" authorId="0" shapeId="0" xr:uid="{00000000-0006-0000-0200-0000D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0" authorId="0" shapeId="0" xr:uid="{00000000-0006-0000-0200-0000D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0" authorId="0" shapeId="0" xr:uid="{00000000-0006-0000-0200-0000D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0" authorId="0" shapeId="0" xr:uid="{00000000-0006-0000-0200-0000DA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0" authorId="0" shapeId="0" xr:uid="{00000000-0006-0000-0200-0000DB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1" authorId="0" shapeId="0" xr:uid="{00000000-0006-0000-0200-0000DC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1" authorId="0" shapeId="0" xr:uid="{00000000-0006-0000-0200-0000DD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1" authorId="0" shapeId="0" xr:uid="{00000000-0006-0000-0200-0000D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1" authorId="0" shapeId="0" xr:uid="{00000000-0006-0000-0200-0000D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1" authorId="0" shapeId="0" xr:uid="{00000000-0006-0000-0200-0000E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1" authorId="0" shapeId="0" xr:uid="{00000000-0006-0000-0200-0000E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1" authorId="0" shapeId="0" xr:uid="{00000000-0006-0000-0200-0000E2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1" authorId="0" shapeId="0" xr:uid="{00000000-0006-0000-0200-0000E3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1" authorId="0" shapeId="0" xr:uid="{00000000-0006-0000-0200-0000E4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1" authorId="0" shapeId="0" xr:uid="{00000000-0006-0000-0200-0000E5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1" authorId="0" shapeId="0" xr:uid="{00000000-0006-0000-0200-0000E6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1" authorId="0" shapeId="0" xr:uid="{00000000-0006-0000-0200-0000E7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2" authorId="0" shapeId="0" xr:uid="{00000000-0006-0000-0200-0000E8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2" authorId="0" shapeId="0" xr:uid="{00000000-0006-0000-0200-0000E9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2" authorId="0" shapeId="0" xr:uid="{00000000-0006-0000-0200-0000E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2" authorId="0" shapeId="0" xr:uid="{00000000-0006-0000-0200-0000E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2" authorId="0" shapeId="0" xr:uid="{00000000-0006-0000-0200-0000E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2" authorId="0" shapeId="0" xr:uid="{00000000-0006-0000-0200-0000E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2" authorId="0" shapeId="0" xr:uid="{00000000-0006-0000-0200-0000EE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2" authorId="0" shapeId="0" xr:uid="{00000000-0006-0000-0200-0000EF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2" authorId="0" shapeId="0" xr:uid="{00000000-0006-0000-0200-0000F0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2" authorId="0" shapeId="0" xr:uid="{00000000-0006-0000-0200-0000F1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2" authorId="0" shapeId="0" xr:uid="{00000000-0006-0000-0200-0000F2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2" authorId="0" shapeId="0" xr:uid="{00000000-0006-0000-0200-0000F3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3" authorId="0" shapeId="0" xr:uid="{00000000-0006-0000-0200-0000F400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3" authorId="0" shapeId="0" xr:uid="{00000000-0006-0000-0200-0000F500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3" authorId="0" shapeId="0" xr:uid="{00000000-0006-0000-0200-0000F6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3" authorId="0" shapeId="0" xr:uid="{00000000-0006-0000-0200-0000F7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3" authorId="0" shapeId="0" xr:uid="{00000000-0006-0000-0200-0000F8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3" authorId="0" shapeId="0" xr:uid="{00000000-0006-0000-0200-0000F9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3" authorId="0" shapeId="0" xr:uid="{00000000-0006-0000-0200-0000FA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3" authorId="0" shapeId="0" xr:uid="{00000000-0006-0000-0200-0000FB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3" authorId="0" shapeId="0" xr:uid="{00000000-0006-0000-0200-0000FC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3" authorId="0" shapeId="0" xr:uid="{00000000-0006-0000-0200-0000FD00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3" authorId="0" shapeId="0" xr:uid="{00000000-0006-0000-0200-0000FE00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3" authorId="0" shapeId="0" xr:uid="{00000000-0006-0000-0200-0000FF00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4" authorId="0" shapeId="0" xr:uid="{00000000-0006-0000-0200-000000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4" authorId="0" shapeId="0" xr:uid="{00000000-0006-0000-0200-000001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4" authorId="0" shapeId="0" xr:uid="{00000000-0006-0000-0200-00000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4" authorId="0" shapeId="0" xr:uid="{00000000-0006-0000-0200-00000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4" authorId="0" shapeId="0" xr:uid="{00000000-0006-0000-0200-00000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4" authorId="0" shapeId="0" xr:uid="{00000000-0006-0000-0200-00000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4" authorId="0" shapeId="0" xr:uid="{00000000-0006-0000-0200-00000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4" authorId="0" shapeId="0" xr:uid="{00000000-0006-0000-0200-00000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4" authorId="0" shapeId="0" xr:uid="{00000000-0006-0000-0200-00000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4" authorId="0" shapeId="0" xr:uid="{00000000-0006-0000-0200-00000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4" authorId="0" shapeId="0" xr:uid="{00000000-0006-0000-0200-00000A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4" authorId="0" shapeId="0" xr:uid="{00000000-0006-0000-0200-00000B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5" authorId="0" shapeId="0" xr:uid="{00000000-0006-0000-0200-00000C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5" authorId="0" shapeId="0" xr:uid="{00000000-0006-0000-0200-00000D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5" authorId="0" shapeId="0" xr:uid="{00000000-0006-0000-0200-00000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5" authorId="0" shapeId="0" xr:uid="{00000000-0006-0000-0200-00000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5" authorId="0" shapeId="0" xr:uid="{00000000-0006-0000-0200-00001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5" authorId="0" shapeId="0" xr:uid="{00000000-0006-0000-0200-00001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5" authorId="0" shapeId="0" xr:uid="{00000000-0006-0000-0200-00001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5" authorId="0" shapeId="0" xr:uid="{00000000-0006-0000-0200-00001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5" authorId="0" shapeId="0" xr:uid="{00000000-0006-0000-0200-00001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5" authorId="0" shapeId="0" xr:uid="{00000000-0006-0000-0200-00001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5" authorId="0" shapeId="0" xr:uid="{00000000-0006-0000-0200-000016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5" authorId="0" shapeId="0" xr:uid="{00000000-0006-0000-0200-000017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6" authorId="0" shapeId="0" xr:uid="{00000000-0006-0000-0200-000018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6" authorId="0" shapeId="0" xr:uid="{00000000-0006-0000-0200-000019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6" authorId="0" shapeId="0" xr:uid="{00000000-0006-0000-0200-00001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6" authorId="0" shapeId="0" xr:uid="{00000000-0006-0000-0200-00001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6" authorId="0" shapeId="0" xr:uid="{00000000-0006-0000-0200-00001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6" authorId="0" shapeId="0" xr:uid="{00000000-0006-0000-0200-00001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6" authorId="0" shapeId="0" xr:uid="{00000000-0006-0000-0200-00001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6" authorId="0" shapeId="0" xr:uid="{00000000-0006-0000-0200-00001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6" authorId="0" shapeId="0" xr:uid="{00000000-0006-0000-0200-00002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6" authorId="0" shapeId="0" xr:uid="{00000000-0006-0000-0200-00002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6" authorId="0" shapeId="0" xr:uid="{00000000-0006-0000-0200-000022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6" authorId="0" shapeId="0" xr:uid="{00000000-0006-0000-0200-000023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7" authorId="0" shapeId="0" xr:uid="{00000000-0006-0000-0200-000024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7" authorId="0" shapeId="0" xr:uid="{00000000-0006-0000-0200-000025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7" authorId="0" shapeId="0" xr:uid="{00000000-0006-0000-0200-00002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7" authorId="0" shapeId="0" xr:uid="{00000000-0006-0000-0200-00002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7" authorId="0" shapeId="0" xr:uid="{00000000-0006-0000-0200-00002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7" authorId="0" shapeId="0" xr:uid="{00000000-0006-0000-0200-00002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7" authorId="0" shapeId="0" xr:uid="{00000000-0006-0000-0200-00002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7" authorId="0" shapeId="0" xr:uid="{00000000-0006-0000-0200-00002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7" authorId="0" shapeId="0" xr:uid="{00000000-0006-0000-0200-00002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7" authorId="0" shapeId="0" xr:uid="{00000000-0006-0000-0200-00002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7" authorId="0" shapeId="0" xr:uid="{00000000-0006-0000-0200-00002E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7" authorId="0" shapeId="0" xr:uid="{00000000-0006-0000-0200-00002F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8" authorId="0" shapeId="0" xr:uid="{00000000-0006-0000-0200-000030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8" authorId="0" shapeId="0" xr:uid="{00000000-0006-0000-0200-000031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8" authorId="0" shapeId="0" xr:uid="{00000000-0006-0000-0200-00003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8" authorId="0" shapeId="0" xr:uid="{00000000-0006-0000-0200-00003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8" authorId="0" shapeId="0" xr:uid="{00000000-0006-0000-0200-00003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8" authorId="0" shapeId="0" xr:uid="{00000000-0006-0000-0200-00003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8" authorId="0" shapeId="0" xr:uid="{00000000-0006-0000-0200-00003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8" authorId="0" shapeId="0" xr:uid="{00000000-0006-0000-0200-00003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8" authorId="0" shapeId="0" xr:uid="{00000000-0006-0000-0200-00003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8" authorId="0" shapeId="0" xr:uid="{00000000-0006-0000-0200-00003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8" authorId="0" shapeId="0" xr:uid="{00000000-0006-0000-0200-00003A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8" authorId="0" shapeId="0" xr:uid="{00000000-0006-0000-0200-00003B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29" authorId="0" shapeId="0" xr:uid="{00000000-0006-0000-0200-00003C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29" authorId="0" shapeId="0" xr:uid="{00000000-0006-0000-0200-00003D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29" authorId="0" shapeId="0" xr:uid="{00000000-0006-0000-0200-00003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29" authorId="0" shapeId="0" xr:uid="{00000000-0006-0000-0200-00003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29" authorId="0" shapeId="0" xr:uid="{00000000-0006-0000-0200-00004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29" authorId="0" shapeId="0" xr:uid="{00000000-0006-0000-0200-00004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29" authorId="0" shapeId="0" xr:uid="{00000000-0006-0000-0200-00004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29" authorId="0" shapeId="0" xr:uid="{00000000-0006-0000-0200-00004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29" authorId="0" shapeId="0" xr:uid="{00000000-0006-0000-0200-00004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29" authorId="0" shapeId="0" xr:uid="{00000000-0006-0000-0200-00004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29" authorId="0" shapeId="0" xr:uid="{00000000-0006-0000-0200-000046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29" authorId="0" shapeId="0" xr:uid="{00000000-0006-0000-0200-000047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0" authorId="0" shapeId="0" xr:uid="{00000000-0006-0000-0200-000048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0" authorId="0" shapeId="0" xr:uid="{00000000-0006-0000-0200-000049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0" authorId="0" shapeId="0" xr:uid="{00000000-0006-0000-0200-00004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0" authorId="0" shapeId="0" xr:uid="{00000000-0006-0000-0200-00004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0" authorId="0" shapeId="0" xr:uid="{00000000-0006-0000-0200-00004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0" authorId="0" shapeId="0" xr:uid="{00000000-0006-0000-0200-00004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0" authorId="0" shapeId="0" xr:uid="{00000000-0006-0000-0200-00004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0" authorId="0" shapeId="0" xr:uid="{00000000-0006-0000-0200-00004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0" authorId="0" shapeId="0" xr:uid="{00000000-0006-0000-0200-00005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0" authorId="0" shapeId="0" xr:uid="{00000000-0006-0000-0200-00005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0" authorId="0" shapeId="0" xr:uid="{00000000-0006-0000-0200-000052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0" authorId="0" shapeId="0" xr:uid="{00000000-0006-0000-0200-000053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1" authorId="0" shapeId="0" xr:uid="{00000000-0006-0000-0200-000054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1" authorId="0" shapeId="0" xr:uid="{00000000-0006-0000-0200-000055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1" authorId="0" shapeId="0" xr:uid="{00000000-0006-0000-0200-00005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1" authorId="0" shapeId="0" xr:uid="{00000000-0006-0000-0200-00005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1" authorId="0" shapeId="0" xr:uid="{00000000-0006-0000-0200-00005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1" authorId="0" shapeId="0" xr:uid="{00000000-0006-0000-0200-00005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1" authorId="0" shapeId="0" xr:uid="{00000000-0006-0000-0200-00005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1" authorId="0" shapeId="0" xr:uid="{00000000-0006-0000-0200-00005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1" authorId="0" shapeId="0" xr:uid="{00000000-0006-0000-0200-00005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1" authorId="0" shapeId="0" xr:uid="{00000000-0006-0000-0200-00005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1" authorId="0" shapeId="0" xr:uid="{00000000-0006-0000-0200-00005E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1" authorId="0" shapeId="0" xr:uid="{00000000-0006-0000-0200-00005F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2" authorId="0" shapeId="0" xr:uid="{00000000-0006-0000-0200-000060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2" authorId="0" shapeId="0" xr:uid="{00000000-0006-0000-0200-000061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2" authorId="0" shapeId="0" xr:uid="{00000000-0006-0000-0200-00006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2" authorId="0" shapeId="0" xr:uid="{00000000-0006-0000-0200-00006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2" authorId="0" shapeId="0" xr:uid="{00000000-0006-0000-0200-00006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2" authorId="0" shapeId="0" xr:uid="{00000000-0006-0000-0200-00006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2" authorId="0" shapeId="0" xr:uid="{00000000-0006-0000-0200-00006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2" authorId="0" shapeId="0" xr:uid="{00000000-0006-0000-0200-00006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2" authorId="0" shapeId="0" xr:uid="{00000000-0006-0000-0200-00006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2" authorId="0" shapeId="0" xr:uid="{00000000-0006-0000-0200-00006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2" authorId="0" shapeId="0" xr:uid="{00000000-0006-0000-0200-00006A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2" authorId="0" shapeId="0" xr:uid="{00000000-0006-0000-0200-00006B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3" authorId="0" shapeId="0" xr:uid="{00000000-0006-0000-0200-00006C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3" authorId="0" shapeId="0" xr:uid="{00000000-0006-0000-0200-00006D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3" authorId="0" shapeId="0" xr:uid="{00000000-0006-0000-0200-00006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3" authorId="0" shapeId="0" xr:uid="{00000000-0006-0000-0200-00006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3" authorId="0" shapeId="0" xr:uid="{00000000-0006-0000-0200-00007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3" authorId="0" shapeId="0" xr:uid="{00000000-0006-0000-0200-00007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3" authorId="0" shapeId="0" xr:uid="{00000000-0006-0000-0200-00007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3" authorId="0" shapeId="0" xr:uid="{00000000-0006-0000-0200-00007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3" authorId="0" shapeId="0" xr:uid="{00000000-0006-0000-0200-00007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3" authorId="0" shapeId="0" xr:uid="{00000000-0006-0000-0200-00007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3" authorId="0" shapeId="0" xr:uid="{00000000-0006-0000-0200-000076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3" authorId="0" shapeId="0" xr:uid="{00000000-0006-0000-0200-000077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4" authorId="0" shapeId="0" xr:uid="{00000000-0006-0000-0200-000078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4" authorId="0" shapeId="0" xr:uid="{00000000-0006-0000-0200-000079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4" authorId="0" shapeId="0" xr:uid="{00000000-0006-0000-0200-00007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4" authorId="0" shapeId="0" xr:uid="{00000000-0006-0000-0200-00007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4" authorId="0" shapeId="0" xr:uid="{00000000-0006-0000-0200-00007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4" authorId="0" shapeId="0" xr:uid="{00000000-0006-0000-0200-00007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4" authorId="0" shapeId="0" xr:uid="{00000000-0006-0000-0200-00007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4" authorId="0" shapeId="0" xr:uid="{00000000-0006-0000-0200-00007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4" authorId="0" shapeId="0" xr:uid="{00000000-0006-0000-0200-00008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4" authorId="0" shapeId="0" xr:uid="{00000000-0006-0000-0200-00008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4" authorId="0" shapeId="0" xr:uid="{00000000-0006-0000-0200-000082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4" authorId="0" shapeId="0" xr:uid="{00000000-0006-0000-0200-000083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5" authorId="0" shapeId="0" xr:uid="{00000000-0006-0000-0200-000084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5" authorId="0" shapeId="0" xr:uid="{00000000-0006-0000-0200-000085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5" authorId="0" shapeId="0" xr:uid="{00000000-0006-0000-0200-00008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5" authorId="0" shapeId="0" xr:uid="{00000000-0006-0000-0200-00008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5" authorId="0" shapeId="0" xr:uid="{00000000-0006-0000-0200-00008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5" authorId="0" shapeId="0" xr:uid="{00000000-0006-0000-0200-00008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5" authorId="0" shapeId="0" xr:uid="{00000000-0006-0000-0200-00008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5" authorId="0" shapeId="0" xr:uid="{00000000-0006-0000-0200-00008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5" authorId="0" shapeId="0" xr:uid="{00000000-0006-0000-0200-00008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5" authorId="0" shapeId="0" xr:uid="{00000000-0006-0000-0200-00008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5" authorId="0" shapeId="0" xr:uid="{00000000-0006-0000-0200-00008E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5" authorId="0" shapeId="0" xr:uid="{00000000-0006-0000-0200-00008F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6" authorId="0" shapeId="0" xr:uid="{00000000-0006-0000-0200-000090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6" authorId="0" shapeId="0" xr:uid="{00000000-0006-0000-0200-000091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6" authorId="0" shapeId="0" xr:uid="{00000000-0006-0000-0200-00009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6" authorId="0" shapeId="0" xr:uid="{00000000-0006-0000-0200-00009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6" authorId="0" shapeId="0" xr:uid="{00000000-0006-0000-0200-00009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6" authorId="0" shapeId="0" xr:uid="{00000000-0006-0000-0200-00009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6" authorId="0" shapeId="0" xr:uid="{00000000-0006-0000-0200-00009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6" authorId="0" shapeId="0" xr:uid="{00000000-0006-0000-0200-00009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6" authorId="0" shapeId="0" xr:uid="{00000000-0006-0000-0200-00009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6" authorId="0" shapeId="0" xr:uid="{00000000-0006-0000-0200-00009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6" authorId="0" shapeId="0" xr:uid="{00000000-0006-0000-0200-00009A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6" authorId="0" shapeId="0" xr:uid="{00000000-0006-0000-0200-00009B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7" authorId="0" shapeId="0" xr:uid="{00000000-0006-0000-0200-00009C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7" authorId="0" shapeId="0" xr:uid="{00000000-0006-0000-0200-00009D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7" authorId="0" shapeId="0" xr:uid="{00000000-0006-0000-0200-00009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7" authorId="0" shapeId="0" xr:uid="{00000000-0006-0000-0200-00009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7" authorId="0" shapeId="0" xr:uid="{00000000-0006-0000-0200-0000A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7" authorId="0" shapeId="0" xr:uid="{00000000-0006-0000-0200-0000A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7" authorId="0" shapeId="0" xr:uid="{00000000-0006-0000-0200-0000A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7" authorId="0" shapeId="0" xr:uid="{00000000-0006-0000-0200-0000A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7" authorId="0" shapeId="0" xr:uid="{00000000-0006-0000-0200-0000A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7" authorId="0" shapeId="0" xr:uid="{00000000-0006-0000-0200-0000A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7" authorId="0" shapeId="0" xr:uid="{00000000-0006-0000-0200-0000A6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7" authorId="0" shapeId="0" xr:uid="{00000000-0006-0000-0200-0000A7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8" authorId="0" shapeId="0" xr:uid="{00000000-0006-0000-0200-0000A8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8" authorId="0" shapeId="0" xr:uid="{00000000-0006-0000-0200-0000A9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8" authorId="0" shapeId="0" xr:uid="{00000000-0006-0000-0200-0000A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8" authorId="0" shapeId="0" xr:uid="{00000000-0006-0000-0200-0000A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8" authorId="0" shapeId="0" xr:uid="{00000000-0006-0000-0200-0000A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8" authorId="0" shapeId="0" xr:uid="{00000000-0006-0000-0200-0000A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8" authorId="0" shapeId="0" xr:uid="{00000000-0006-0000-0200-0000A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8" authorId="0" shapeId="0" xr:uid="{00000000-0006-0000-0200-0000A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8" authorId="0" shapeId="0" xr:uid="{00000000-0006-0000-0200-0000B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8" authorId="0" shapeId="0" xr:uid="{00000000-0006-0000-0200-0000B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8" authorId="0" shapeId="0" xr:uid="{00000000-0006-0000-0200-0000B2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8" authorId="0" shapeId="0" xr:uid="{00000000-0006-0000-0200-0000B3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39" authorId="0" shapeId="0" xr:uid="{00000000-0006-0000-0200-0000B4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39" authorId="0" shapeId="0" xr:uid="{00000000-0006-0000-0200-0000B5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39" authorId="0" shapeId="0" xr:uid="{00000000-0006-0000-0200-0000B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39" authorId="0" shapeId="0" xr:uid="{00000000-0006-0000-0200-0000B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39" authorId="0" shapeId="0" xr:uid="{00000000-0006-0000-0200-0000B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39" authorId="0" shapeId="0" xr:uid="{00000000-0006-0000-0200-0000B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39" authorId="0" shapeId="0" xr:uid="{00000000-0006-0000-0200-0000B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39" authorId="0" shapeId="0" xr:uid="{00000000-0006-0000-0200-0000B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39" authorId="0" shapeId="0" xr:uid="{00000000-0006-0000-0200-0000B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39" authorId="0" shapeId="0" xr:uid="{00000000-0006-0000-0200-0000B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39" authorId="0" shapeId="0" xr:uid="{00000000-0006-0000-0200-0000BE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39" authorId="0" shapeId="0" xr:uid="{00000000-0006-0000-0200-0000BF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0" authorId="0" shapeId="0" xr:uid="{00000000-0006-0000-0200-0000C0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0" authorId="0" shapeId="0" xr:uid="{00000000-0006-0000-0200-0000C1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0" authorId="0" shapeId="0" xr:uid="{00000000-0006-0000-0200-0000C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0" authorId="0" shapeId="0" xr:uid="{00000000-0006-0000-0200-0000C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0" authorId="0" shapeId="0" xr:uid="{00000000-0006-0000-0200-0000C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0" authorId="0" shapeId="0" xr:uid="{00000000-0006-0000-0200-0000C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0" authorId="0" shapeId="0" xr:uid="{00000000-0006-0000-0200-0000C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0" authorId="0" shapeId="0" xr:uid="{00000000-0006-0000-0200-0000C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0" authorId="0" shapeId="0" xr:uid="{00000000-0006-0000-0200-0000C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0" authorId="0" shapeId="0" xr:uid="{00000000-0006-0000-0200-0000C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0" authorId="0" shapeId="0" xr:uid="{00000000-0006-0000-0200-0000CA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0" authorId="0" shapeId="0" xr:uid="{00000000-0006-0000-0200-0000CB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1" authorId="0" shapeId="0" xr:uid="{00000000-0006-0000-0200-0000CC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1" authorId="0" shapeId="0" xr:uid="{00000000-0006-0000-0200-0000CD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1" authorId="0" shapeId="0" xr:uid="{00000000-0006-0000-0200-0000C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1" authorId="0" shapeId="0" xr:uid="{00000000-0006-0000-0200-0000C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1" authorId="0" shapeId="0" xr:uid="{00000000-0006-0000-0200-0000D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1" authorId="0" shapeId="0" xr:uid="{00000000-0006-0000-0200-0000D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1" authorId="0" shapeId="0" xr:uid="{00000000-0006-0000-0200-0000D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1" authorId="0" shapeId="0" xr:uid="{00000000-0006-0000-0200-0000D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1" authorId="0" shapeId="0" xr:uid="{00000000-0006-0000-0200-0000D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1" authorId="0" shapeId="0" xr:uid="{00000000-0006-0000-0200-0000D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1" authorId="0" shapeId="0" xr:uid="{00000000-0006-0000-0200-0000D6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1" authorId="0" shapeId="0" xr:uid="{00000000-0006-0000-0200-0000D7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2" authorId="0" shapeId="0" xr:uid="{00000000-0006-0000-0200-0000D8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2" authorId="0" shapeId="0" xr:uid="{00000000-0006-0000-0200-0000D9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2" authorId="0" shapeId="0" xr:uid="{00000000-0006-0000-0200-0000D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2" authorId="0" shapeId="0" xr:uid="{00000000-0006-0000-0200-0000D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2" authorId="0" shapeId="0" xr:uid="{00000000-0006-0000-0200-0000D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2" authorId="0" shapeId="0" xr:uid="{00000000-0006-0000-0200-0000D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2" authorId="0" shapeId="0" xr:uid="{00000000-0006-0000-0200-0000D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2" authorId="0" shapeId="0" xr:uid="{00000000-0006-0000-0200-0000D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2" authorId="0" shapeId="0" xr:uid="{00000000-0006-0000-0200-0000E0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2" authorId="0" shapeId="0" xr:uid="{00000000-0006-0000-0200-0000E1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2" authorId="0" shapeId="0" xr:uid="{00000000-0006-0000-0200-0000E2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2" authorId="0" shapeId="0" xr:uid="{00000000-0006-0000-0200-0000E3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3" authorId="0" shapeId="0" xr:uid="{00000000-0006-0000-0200-0000E4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3" authorId="0" shapeId="0" xr:uid="{00000000-0006-0000-0200-0000E5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3" authorId="0" shapeId="0" xr:uid="{00000000-0006-0000-0200-0000E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3" authorId="0" shapeId="0" xr:uid="{00000000-0006-0000-0200-0000E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3" authorId="0" shapeId="0" xr:uid="{00000000-0006-0000-0200-0000E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3" authorId="0" shapeId="0" xr:uid="{00000000-0006-0000-0200-0000E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3" authorId="0" shapeId="0" xr:uid="{00000000-0006-0000-0200-0000EA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3" authorId="0" shapeId="0" xr:uid="{00000000-0006-0000-0200-0000EB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3" authorId="0" shapeId="0" xr:uid="{00000000-0006-0000-0200-0000EC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3" authorId="0" shapeId="0" xr:uid="{00000000-0006-0000-0200-0000ED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3" authorId="0" shapeId="0" xr:uid="{00000000-0006-0000-0200-0000EE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3" authorId="0" shapeId="0" xr:uid="{00000000-0006-0000-0200-0000EF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4" authorId="0" shapeId="0" xr:uid="{00000000-0006-0000-0200-0000F0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4" authorId="0" shapeId="0" xr:uid="{00000000-0006-0000-0200-0000F1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4" authorId="0" shapeId="0" xr:uid="{00000000-0006-0000-0200-0000F2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4" authorId="0" shapeId="0" xr:uid="{00000000-0006-0000-0200-0000F3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4" authorId="0" shapeId="0" xr:uid="{00000000-0006-0000-0200-0000F4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4" authorId="0" shapeId="0" xr:uid="{00000000-0006-0000-0200-0000F5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4" authorId="0" shapeId="0" xr:uid="{00000000-0006-0000-0200-0000F6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4" authorId="0" shapeId="0" xr:uid="{00000000-0006-0000-0200-0000F7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4" authorId="0" shapeId="0" xr:uid="{00000000-0006-0000-0200-0000F8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4" authorId="0" shapeId="0" xr:uid="{00000000-0006-0000-0200-0000F9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4" authorId="0" shapeId="0" xr:uid="{00000000-0006-0000-0200-0000FA01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4" authorId="0" shapeId="0" xr:uid="{00000000-0006-0000-0200-0000FB01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5" authorId="0" shapeId="0" xr:uid="{00000000-0006-0000-0200-0000FC01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5" authorId="0" shapeId="0" xr:uid="{00000000-0006-0000-0200-0000FD01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5" authorId="0" shapeId="0" xr:uid="{00000000-0006-0000-0200-0000FE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5" authorId="0" shapeId="0" xr:uid="{00000000-0006-0000-0200-0000FF01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5" authorId="0" shapeId="0" xr:uid="{00000000-0006-0000-0200-000000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5" authorId="0" shapeId="0" xr:uid="{00000000-0006-0000-0200-000001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5" authorId="0" shapeId="0" xr:uid="{00000000-0006-0000-0200-000002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5" authorId="0" shapeId="0" xr:uid="{00000000-0006-0000-0200-000003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5" authorId="0" shapeId="0" xr:uid="{00000000-0006-0000-0200-000004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5" authorId="0" shapeId="0" xr:uid="{00000000-0006-0000-0200-000005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5" authorId="0" shapeId="0" xr:uid="{00000000-0006-0000-0200-00000602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5" authorId="0" shapeId="0" xr:uid="{00000000-0006-0000-0200-00000702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6" authorId="0" shapeId="0" xr:uid="{00000000-0006-0000-0200-00000802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6" authorId="0" shapeId="0" xr:uid="{00000000-0006-0000-0200-00000902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6" authorId="0" shapeId="0" xr:uid="{00000000-0006-0000-0200-00000A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6" authorId="0" shapeId="0" xr:uid="{00000000-0006-0000-0200-00000B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6" authorId="0" shapeId="0" xr:uid="{00000000-0006-0000-0200-00000C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6" authorId="0" shapeId="0" xr:uid="{00000000-0006-0000-0200-00000D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6" authorId="0" shapeId="0" xr:uid="{00000000-0006-0000-0200-00000E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6" authorId="0" shapeId="0" xr:uid="{00000000-0006-0000-0200-00000F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6" authorId="0" shapeId="0" xr:uid="{00000000-0006-0000-0200-000010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6" authorId="0" shapeId="0" xr:uid="{00000000-0006-0000-0200-000011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6" authorId="0" shapeId="0" xr:uid="{00000000-0006-0000-0200-00001202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6" authorId="0" shapeId="0" xr:uid="{00000000-0006-0000-0200-00001302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7" authorId="0" shapeId="0" xr:uid="{00000000-0006-0000-0200-00001402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7" authorId="0" shapeId="0" xr:uid="{00000000-0006-0000-0200-00001502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7" authorId="0" shapeId="0" xr:uid="{00000000-0006-0000-0200-000016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7" authorId="0" shapeId="0" xr:uid="{00000000-0006-0000-0200-000017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7" authorId="0" shapeId="0" xr:uid="{00000000-0006-0000-0200-000018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7" authorId="0" shapeId="0" xr:uid="{00000000-0006-0000-0200-000019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7" authorId="0" shapeId="0" xr:uid="{00000000-0006-0000-0200-00001A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7" authorId="0" shapeId="0" xr:uid="{00000000-0006-0000-0200-00001B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7" authorId="0" shapeId="0" xr:uid="{00000000-0006-0000-0200-00001C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7" authorId="0" shapeId="0" xr:uid="{00000000-0006-0000-0200-00001D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7" authorId="0" shapeId="0" xr:uid="{00000000-0006-0000-0200-00001E02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7" authorId="0" shapeId="0" xr:uid="{00000000-0006-0000-0200-00001F02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8" authorId="0" shapeId="0" xr:uid="{00000000-0006-0000-0200-00002002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8" authorId="0" shapeId="0" xr:uid="{00000000-0006-0000-0200-00002102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8" authorId="0" shapeId="0" xr:uid="{00000000-0006-0000-0200-000022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8" authorId="0" shapeId="0" xr:uid="{00000000-0006-0000-0200-000023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8" authorId="0" shapeId="0" xr:uid="{00000000-0006-0000-0200-000024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8" authorId="0" shapeId="0" xr:uid="{00000000-0006-0000-0200-000025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8" authorId="0" shapeId="0" xr:uid="{00000000-0006-0000-0200-000026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8" authorId="0" shapeId="0" xr:uid="{00000000-0006-0000-0200-000027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8" authorId="0" shapeId="0" xr:uid="{00000000-0006-0000-0200-000028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8" authorId="0" shapeId="0" xr:uid="{00000000-0006-0000-0200-000029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8" authorId="0" shapeId="0" xr:uid="{00000000-0006-0000-0200-00002A02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8" authorId="0" shapeId="0" xr:uid="{00000000-0006-0000-0200-00002B02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49" authorId="0" shapeId="0" xr:uid="{00000000-0006-0000-0200-00002C02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49" authorId="0" shapeId="0" xr:uid="{00000000-0006-0000-0200-00002D02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49" authorId="0" shapeId="0" xr:uid="{00000000-0006-0000-0200-00002E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49" authorId="0" shapeId="0" xr:uid="{00000000-0006-0000-0200-00002F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49" authorId="0" shapeId="0" xr:uid="{00000000-0006-0000-0200-000030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49" authorId="0" shapeId="0" xr:uid="{00000000-0006-0000-0200-000031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49" authorId="0" shapeId="0" xr:uid="{00000000-0006-0000-0200-000032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49" authorId="0" shapeId="0" xr:uid="{00000000-0006-0000-0200-000033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49" authorId="0" shapeId="0" xr:uid="{00000000-0006-0000-0200-000034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49" authorId="0" shapeId="0" xr:uid="{00000000-0006-0000-0200-000035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49" authorId="0" shapeId="0" xr:uid="{00000000-0006-0000-0200-00003602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49" authorId="0" shapeId="0" xr:uid="{00000000-0006-0000-0200-00003702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  <comment ref="F50" authorId="0" shapeId="0" xr:uid="{00000000-0006-0000-0200-000038020000}">
      <text>
        <r>
          <rPr>
            <sz val="11"/>
            <color theme="1"/>
            <rFont val="Calibri"/>
            <family val="2"/>
            <charset val="1"/>
          </rPr>
          <t>RS4 rows: type dimension. Board rows: auto-filled from parent RS4 (L-5 for Plate/Part-L, W-5 for Part-W).</t>
        </r>
      </text>
    </comment>
    <comment ref="G50" authorId="0" shapeId="0" xr:uid="{00000000-0006-0000-0200-000039020000}">
      <text>
        <r>
          <rPr>
            <sz val="11"/>
            <color theme="1"/>
            <rFont val="Calibri"/>
            <family val="2"/>
            <charset val="1"/>
          </rPr>
          <t>RS4/Part-L rows: type dimension. Plate: W-5 of parent RS4. Part-W: links to Part-L partition height.</t>
        </r>
      </text>
    </comment>
    <comment ref="BB50" authorId="0" shapeId="0" xr:uid="{00000000-0006-0000-0200-00003A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C50" authorId="0" shapeId="0" xr:uid="{00000000-0006-0000-0200-00003B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D50" authorId="0" shapeId="0" xr:uid="{00000000-0006-0000-0200-00003C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E50" authorId="0" shapeId="0" xr:uid="{00000000-0006-0000-0200-00003D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F50" authorId="0" shapeId="0" xr:uid="{00000000-0006-0000-0200-00003E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G50" authorId="0" shapeId="0" xr:uid="{00000000-0006-0000-0200-00003F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H50" authorId="0" shapeId="0" xr:uid="{00000000-0006-0000-0200-000040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I50" authorId="0" shapeId="0" xr:uid="{00000000-0006-0000-0200-000041020000}">
      <text>
        <r>
          <rPr>
            <sz val="11"/>
            <color theme="1"/>
            <rFont val="Calibri"/>
            <family val="2"/>
            <charset val="1"/>
          </rPr>
          <t>Driven by row 3 (RS4) or row 4 (Board) rate. Override by typing a value.</t>
        </r>
      </text>
    </comment>
    <comment ref="BK50" authorId="0" shapeId="0" xr:uid="{00000000-0006-0000-0200-000042020000}">
      <text>
        <r>
          <rPr>
            <sz val="11"/>
            <color theme="1"/>
            <rFont val="Calibri"/>
            <family val="2"/>
            <charset val="1"/>
          </rPr>
          <t>Auto: Sheet Wt × freight rate from DEFAULTS location table (col S-T) if location in col E is found. Falls back to AX3 (RS4) or AX4 (Board) default. Override by typing a fixed Rs value.</t>
        </r>
      </text>
    </comment>
    <comment ref="BQ50" authorId="0" shapeId="0" xr:uid="{00000000-0006-0000-0200-000043020000}">
      <text>
        <r>
          <rPr>
            <sz val="11"/>
            <color theme="1"/>
            <rFont val="Calibri"/>
            <family val="2"/>
            <charset val="1"/>
          </rPr>
          <t>Formula: PLY × 1100 kg ÷ Sheet Weight, rounded to nearest 100.</t>
        </r>
      </text>
    </comment>
  </commentList>
</comments>
</file>

<file path=xl/sharedStrings.xml><?xml version="1.0" encoding="utf-8"?>
<sst xmlns="http://schemas.openxmlformats.org/spreadsheetml/2006/main" count="488" uniqueCount="354">
  <si>
    <t>CFB QUOTATION MASTER v7</t>
  </si>
  <si>
    <t>Client Plant:</t>
  </si>
  <si>
    <t>Client:</t>
  </si>
  <si>
    <t>Avadhoot Plant:</t>
  </si>
  <si>
    <t>Sector:</t>
  </si>
  <si>
    <t>→ RS4
RATES</t>
  </si>
  <si>
    <t>← Interest: 0.5%=Prompt / 0.75%=Moderate / 1.0%=Delayed / 1.5%=Chronic</t>
  </si>
  <si>
    <t>Date:</t>
  </si>
  <si>
    <t>Quote Ref:</t>
  </si>
  <si>
    <t>BCF</t>
  </si>
  <si>
    <t>→ BOARD
RATES</t>
  </si>
  <si>
    <t>← App Freight Override (Rs/kg): blank = auto from Plant×Location matrix (BH3 formula)</t>
  </si>
  <si>
    <t>IDENTIFICATION</t>
  </si>
  <si>
    <t>DIMENSIONS (mm)</t>
  </si>
  <si>
    <t>BOX SETUP</t>
  </si>
  <si>
    <t>TRIM MARGINS (3-ply: Dkl→Cut  |  5-ply: Dkl→Cut)</t>
  </si>
  <si>
    <t>CALC DIMS + AREA</t>
  </si>
  <si>
    <t>BOARD SPECIFICATION</t>
  </si>
  <si>
    <t>FLUTES
(A/B/C/E)</t>
  </si>
  <si>
    <t>PAPER LAYERS — BF | GSM</t>
  </si>
  <si>
    <t>RATES (Rs/kg + surcharge)</t>
  </si>
  <si>
    <t>WEIGHTS (kg per box)</t>
  </si>
  <si>
    <t>COST BUILD-UP (Rs/box)
← Rates in rows 3 &amp; 4 above →</t>
  </si>
  <si>
    <t>TOTAL
COST</t>
  </si>
  <si>
    <t>MARGIN</t>
  </si>
  <si>
    <t>FINAL RATE
[MROUND 0.05]</t>
  </si>
  <si>
    <t>Rs/kg</t>
  </si>
  <si>
    <t>MOQ</t>
  </si>
  <si>
    <t>Sr No
(auto)</t>
  </si>
  <si>
    <t>Row Type</t>
  </si>
  <si>
    <t>Mat Code</t>
  </si>
  <si>
    <t>SKU / Description</t>
  </si>
  <si>
    <t>Plant / Location</t>
  </si>
  <si>
    <t>L (mm)</t>
  </si>
  <si>
    <t>W (mm)</t>
  </si>
  <si>
    <t>H (mm)</t>
  </si>
  <si>
    <t>Box Type</t>
  </si>
  <si>
    <t>PLY</t>
  </si>
  <si>
    <t>Ups</t>
  </si>
  <si>
    <t>3-ply
Dkl Trim</t>
  </si>
  <si>
    <t>3-ply
Cut Trim</t>
  </si>
  <si>
    <t>5-ply
Dkl Trim</t>
  </si>
  <si>
    <t>5-ply
Cut Trim</t>
  </si>
  <si>
    <t>DECKLE
(mm)</t>
  </si>
  <si>
    <t>CUTTING
(mm)</t>
  </si>
  <si>
    <t>AREA
(m²/box)</t>
  </si>
  <si>
    <t>Std BS
(NLT)</t>
  </si>
  <si>
    <t>Calc BS
(kg/cm²)</t>
  </si>
  <si>
    <t>Std BCT
(NLT kgf)</t>
  </si>
  <si>
    <t>Std ECT
(NLT kN/m)</t>
  </si>
  <si>
    <t>F1 Flute</t>
  </si>
  <si>
    <t>F2 Flute</t>
  </si>
  <si>
    <t>TOP
BF</t>
  </si>
  <si>
    <t>TOP
GSM</t>
  </si>
  <si>
    <t>F1
BF</t>
  </si>
  <si>
    <t>F1
GSM</t>
  </si>
  <si>
    <t>L1
BF</t>
  </si>
  <si>
    <t>L1
GSM</t>
  </si>
  <si>
    <t>F2
BF</t>
  </si>
  <si>
    <t>F2
GSM</t>
  </si>
  <si>
    <t>L2
BF</t>
  </si>
  <si>
    <t>L2
GSM</t>
  </si>
  <si>
    <t>Rate TOP</t>
  </si>
  <si>
    <t>Rate F1</t>
  </si>
  <si>
    <t>Rate L1</t>
  </si>
  <si>
    <t>Rate F2</t>
  </si>
  <si>
    <t>Rate L2</t>
  </si>
  <si>
    <t>Wt TOP
(kg)</t>
  </si>
  <si>
    <t>Wt F1
(kg)</t>
  </si>
  <si>
    <t>Wt L1
(kg)</t>
  </si>
  <si>
    <t>Wt F2
(kg)</t>
  </si>
  <si>
    <t>Wt L2
(kg)</t>
  </si>
  <si>
    <t>Paper Consumed (kg/box)</t>
  </si>
  <si>
    <t>Sheet Wt_exWst
(kg/box)</t>
  </si>
  <si>
    <t>Material
Cost (Rs)</t>
  </si>
  <si>
    <t>Conv
Cost (Rs)</t>
  </si>
  <si>
    <t>Printing
(Rs)</t>
  </si>
  <si>
    <t>Stitching
(Rs)</t>
  </si>
  <si>
    <t>Coating
(Rs)</t>
  </si>
  <si>
    <t>Non-Std Handling
(Rs)</t>
  </si>
  <si>
    <t>MOQ Charge
(Rs)</t>
  </si>
  <si>
    <t>Packing
(Rs)</t>
  </si>
  <si>
    <t>Other Cost
(Rs)</t>
  </si>
  <si>
    <t>Unloading
(Rs)</t>
  </si>
  <si>
    <t>Interest
(Rs)</t>
  </si>
  <si>
    <t>Freight
(Rs)</t>
  </si>
  <si>
    <t>Total Cost
(incl Freight)
(Rs)</t>
  </si>
  <si>
    <t>Margin %</t>
  </si>
  <si>
    <t>Margin
(Rs)</t>
  </si>
  <si>
    <t>FINAL RATE
(Rs/box)</t>
  </si>
  <si>
    <t>Rate/kg
(Rs)</t>
  </si>
  <si>
    <t>SET
Code</t>
  </si>
  <si>
    <t>Nos/
Set</t>
  </si>
  <si>
    <t>SET Rate
Contribution
(Rs/set)</t>
  </si>
  <si>
    <t>Box</t>
  </si>
  <si>
    <t>PAPER RATE MASTER</t>
  </si>
  <si>
    <t>Yellow = update from vendor quotations. Grade codes start with 2-digit BF (e.g. 24GY, 25WTL, 14DUP). Blank grade = natural kraft (no suffix).</t>
  </si>
  <si>
    <t>Credit Cost %</t>
  </si>
  <si>
    <t>Grade Code</t>
  </si>
  <si>
    <t>Grade Description</t>
  </si>
  <si>
    <t>Paper Price
(Rs/kg)</t>
  </si>
  <si>
    <t>Credit Cost
(Rs/kg)</t>
  </si>
  <si>
    <t>Discount
(Rs/kg)</t>
  </si>
  <si>
    <t>Incoming
Freight
(Rs/kg)</t>
  </si>
  <si>
    <t>Effective Rate
(Rs/kg)</t>
  </si>
  <si>
    <t>Notes</t>
  </si>
  <si>
    <t>16</t>
  </si>
  <si>
    <t>16 BF Kraft</t>
  </si>
  <si>
    <t>18</t>
  </si>
  <si>
    <t>18 BF Kraft</t>
  </si>
  <si>
    <t>20</t>
  </si>
  <si>
    <t>20 BF Kraft</t>
  </si>
  <si>
    <t>22</t>
  </si>
  <si>
    <t>22 BF Kraft</t>
  </si>
  <si>
    <t>24</t>
  </si>
  <si>
    <t>24 BF Kraft</t>
  </si>
  <si>
    <t>25VK client spec → maps to 24GY. BF24/25 interchangeable; use 24.</t>
  </si>
  <si>
    <t>28</t>
  </si>
  <si>
    <t>28 BF Kraft</t>
  </si>
  <si>
    <t>35</t>
  </si>
  <si>
    <t>35 BF Kraft</t>
  </si>
  <si>
    <t>Mills assure BF32. Use 33 in Calc BS. Values above 33 are bonus.</t>
  </si>
  <si>
    <t>20GY</t>
  </si>
  <si>
    <t>20 BF Golden Yellow (GY)</t>
  </si>
  <si>
    <t>22GY</t>
  </si>
  <si>
    <t>22 BF Golden Yellow (GY)</t>
  </si>
  <si>
    <t>24GY</t>
  </si>
  <si>
    <t>24 BF Golden Yellow (GY)</t>
  </si>
  <si>
    <t>Maps to 25VK client spec.</t>
  </si>
  <si>
    <t>28GY</t>
  </si>
  <si>
    <t>28 BF Golden Yellow (GY)</t>
  </si>
  <si>
    <t>Solar panel outer liners.</t>
  </si>
  <si>
    <t>32GY</t>
  </si>
  <si>
    <t>32 BF Golden Yellow (GY)</t>
  </si>
  <si>
    <t>35GY</t>
  </si>
  <si>
    <t>35 BF Golden Yellow (GY)</t>
  </si>
  <si>
    <t>Use BF33 for Calc BS.</t>
  </si>
  <si>
    <t>25WTL</t>
  </si>
  <si>
    <t>25 BF White Top Liner (WTL)</t>
  </si>
  <si>
    <t>Printable white top surface. Ice cream, bakery.</t>
  </si>
  <si>
    <t>14DUP</t>
  </si>
  <si>
    <t>14 BF Duplex Board</t>
  </si>
  <si>
    <t>Offset/flexo printed boxes. Footwear inner, cold roll ice cream.</t>
  </si>
  <si>
    <t>26HRCT</t>
  </si>
  <si>
    <t>26 BF High Ring Crush Test Liner</t>
  </si>
  <si>
    <t>Biscuits sector. Cost-optimised alternative.</t>
  </si>
  <si>
    <t>40VKL</t>
  </si>
  <si>
    <t>40 BF Imported Virgin Kraft Liner</t>
  </si>
  <si>
    <t>Solar cell boxes. Longer lead time — flag in quotation.</t>
  </si>
  <si>
    <t>Threshold
GSM</t>
  </si>
  <si>
    <t>GSM Condition</t>
  </si>
  <si>
    <t>Surcharge
(Rs/kg)</t>
  </si>
  <si>
    <t>Basis</t>
  </si>
  <si>
    <t>Rule</t>
  </si>
  <si>
    <t>&lt; 100 GSM</t>
  </si>
  <si>
    <t>Per kg</t>
  </si>
  <si>
    <t>Thin paper handling premium</t>
  </si>
  <si>
    <t>Exactly 100 GSM</t>
  </si>
  <si>
    <t>FIXED — any other value is an error of omission</t>
  </si>
  <si>
    <t>101–200 GSM</t>
  </si>
  <si>
    <t>No surcharge in this band</t>
  </si>
  <si>
    <t>&gt; 200 GSM</t>
  </si>
  <si>
    <t>Heavy paper handling premium</t>
  </si>
  <si>
    <t>Formula in CBB: =IFERROR(VLOOKUP(GSM,'RATE MASTER'!$A$26:$C$29,3,1),0). Surcharge added to Effective Rate per layer. 100 GSM surcharge = 1.5 is fixed — do not change.</t>
  </si>
  <si>
    <t>SECTOR DEFAULTS</t>
  </si>
  <si>
    <t>TAKE-UP FACTORS (for Calc GSM and Calc BS)</t>
  </si>
  <si>
    <t>Flute NOT sector-locked. Trim driven by Box Type table below. Take-up factors in separate table (cols M–Q). Sub-type notes omitted intentionally.</t>
  </si>
  <si>
    <t>Flute</t>
  </si>
  <si>
    <t>Rulebook
Default</t>
  </si>
  <si>
    <t>Kolkata</t>
  </si>
  <si>
    <t>Nagpur</t>
  </si>
  <si>
    <t>Pune</t>
  </si>
  <si>
    <t>Freight (Rs/kg) from Plant</t>
  </si>
  <si>
    <t>A</t>
  </si>
  <si>
    <t>Delivery Location</t>
  </si>
  <si>
    <t>Sector Code</t>
  </si>
  <si>
    <t>Sector Name</t>
  </si>
  <si>
    <t>Waste%
CBB</t>
  </si>
  <si>
    <t>Waste%
P&amp;P</t>
  </si>
  <si>
    <t>Conv Rs/kg
(box)</t>
  </si>
  <si>
    <t>Conv Rs/kg
(P&amp;P)</t>
  </si>
  <si>
    <t>Spec Language</t>
  </si>
  <si>
    <t>Dim Type</t>
  </si>
  <si>
    <t>Dim Unit</t>
  </si>
  <si>
    <t>Typical Box Type
(ref only)</t>
  </si>
  <si>
    <t>B</t>
  </si>
  <si>
    <t>PAINTS</t>
  </si>
  <si>
    <t>Paints / Decorative</t>
  </si>
  <si>
    <t>5%</t>
  </si>
  <si>
    <t>ECT+BS</t>
  </si>
  <si>
    <t>ID</t>
  </si>
  <si>
    <t>mm</t>
  </si>
  <si>
    <t>Die-R</t>
  </si>
  <si>
    <t>Die-based automated lines. Trim = client machine spec.</t>
  </si>
  <si>
    <t>C</t>
  </si>
  <si>
    <t>—</t>
  </si>
  <si>
    <t>ALCOBEV-GL</t>
  </si>
  <si>
    <t>Alcobev — Glass Bottle</t>
  </si>
  <si>
    <t>3%</t>
  </si>
  <si>
    <t>BS</t>
  </si>
  <si>
    <t>RSC</t>
  </si>
  <si>
    <t>SET: RS4+Plate+2 Partitions. PP=B flute 18BF. 30-day,FCL,glued.</t>
  </si>
  <si>
    <t>E</t>
  </si>
  <si>
    <t>Khed</t>
  </si>
  <si>
    <t>ALCOBEV-PET</t>
  </si>
  <si>
    <t>Alcobev — PET Bottle</t>
  </si>
  <si>
    <t>SET: RS4+2 Plates+0 Partitions. Partition rows zeroed.</t>
  </si>
  <si>
    <t>Rulebook defaults (col N) confirmed from plant data. Plant 3 = 3rd plant for C flute only (1.48 — confirm exact value). Client-specified take-up (e.g. LT667 B=1.31/A=1.54) overrides in CBB layer columns.</t>
  </si>
  <si>
    <t>ICE-CREAM</t>
  </si>
  <si>
    <t>Ice Cream / Dairy</t>
  </si>
  <si>
    <t>OD</t>
  </si>
  <si>
    <t>Die-S</t>
  </si>
  <si>
    <t>10-day. E flute. Chemical coating option (~Rs 2/box).</t>
  </si>
  <si>
    <t>Haldia</t>
  </si>
  <si>
    <t>SOLAR-PANEL</t>
  </si>
  <si>
    <t>Solar — Panel Box</t>
  </si>
  <si>
    <t>BS+BCT</t>
  </si>
  <si>
    <t>HRSC-L</t>
  </si>
  <si>
    <t>SET: V Box+Base Sheet. Stitching count=client-specific. 30-day.</t>
  </si>
  <si>
    <t>Howrah</t>
  </si>
  <si>
    <t>SOLAR-CELL</t>
  </si>
  <si>
    <t>Solar — Cell/Ingot</t>
  </si>
  <si>
    <t>CS+BS</t>
  </si>
  <si>
    <t>40VKL option=longer lead time.</t>
  </si>
  <si>
    <t>Guwahati</t>
  </si>
  <si>
    <t>COOLER</t>
  </si>
  <si>
    <t>Coolers / White Goods</t>
  </si>
  <si>
    <t>0%</t>
  </si>
  <si>
    <t>HRSC-R</t>
  </si>
  <si>
    <t>7-day. Confirm cutting trim formula (L+W+trim)×2 vs standard per client.</t>
  </si>
  <si>
    <t>Delhi</t>
  </si>
  <si>
    <t>TEXTILE</t>
  </si>
  <si>
    <t>Textiles / Warehousing</t>
  </si>
  <si>
    <t>BC flute standard. No P&amp;P. Lowest conversion in portfolio.</t>
  </si>
  <si>
    <t>Ahmedabad</t>
  </si>
  <si>
    <t>FOOD-SVC</t>
  </si>
  <si>
    <t>Food Service / QSR</t>
  </si>
  <si>
    <t>BCT</t>
  </si>
  <si>
    <t>ISO 22000 required. 25WTL top, VK inner, FG flute. 30-day.</t>
  </si>
  <si>
    <t>Hyderabad</t>
  </si>
  <si>
    <t>BISCUIT</t>
  </si>
  <si>
    <t>Biscuits &amp; Confectionery</t>
  </si>
  <si>
    <t>4%</t>
  </si>
  <si>
    <t>BCT+BS</t>
  </si>
  <si>
    <t>AlcoBev SET format: RS4+liner plate+U-liner. 26HRCT grade option.</t>
  </si>
  <si>
    <t>CHIPS</t>
  </si>
  <si>
    <t>Snacks / Chips</t>
  </si>
  <si>
    <t>Sample vs Normal dual tier. BCT as MIN-text. Bid-period tender.</t>
  </si>
  <si>
    <t>PETROL</t>
  </si>
  <si>
    <t>Petroleum / Lubricants</t>
  </si>
  <si>
    <t>Annual tender. Std vs Actual spec tracks. Volume in MT/year.</t>
  </si>
  <si>
    <t>EDIBLE-OIL</t>
  </si>
  <si>
    <t>FMCG / Edible Oils</t>
  </si>
  <si>
    <t>Seasonal paper spec: monsoon vs non-monsoon may differ.</t>
  </si>
  <si>
    <t>FOOTWEAR</t>
  </si>
  <si>
    <t>Footwear</t>
  </si>
  <si>
    <t>inch+mm</t>
  </si>
  <si>
    <t>Print type drives conv: SG=8, FFG=8.5, Offset=12.5.</t>
  </si>
  <si>
    <t>ELEC-LED</t>
  </si>
  <si>
    <t>Electronics / LED</t>
  </si>
  <si>
    <t>6%</t>
  </si>
  <si>
    <t>6% waste. A flute primary. 2-part stitched for &gt;1200mm.</t>
  </si>
  <si>
    <t>Add more locations and rates as needed. CBB VLOOKUP uses Plant/Location column (col E) to auto-assign freight.</t>
  </si>
  <si>
    <t>BEAUTY</t>
  </si>
  <si>
    <t>Beauty / D2C</t>
  </si>
  <si>
    <t>7%</t>
  </si>
  <si>
    <t>7% waste. Common deckle grouping. Multi-up (4 ups standard).</t>
  </si>
  <si>
    <t>CHEMICAL</t>
  </si>
  <si>
    <t>Chemicals / Adhesives</t>
  </si>
  <si>
    <t>Cloth pasting option. Z-partition variant. GY grade standard.</t>
  </si>
  <si>
    <t>FANS</t>
  </si>
  <si>
    <t>Consumer Durables/Fans</t>
  </si>
  <si>
    <t>SET=Master box+Inner boxes+Plate. Inner costed separately.</t>
  </si>
  <si>
    <t>PHARMA</t>
  </si>
  <si>
    <t>Pharmaceuticals</t>
  </si>
  <si>
    <t>GMP/regulatory compliance. Confirm spec language with client.</t>
  </si>
  <si>
    <t>FMCG-FOOD</t>
  </si>
  <si>
    <t>FMCG Food / Staples</t>
  </si>
  <si>
    <t>Edible oils, pouch cartons, general food. Seasonal spec may apply.</t>
  </si>
  <si>
    <t>BOX TYPE TRIM DEFAULTS (3-ply Deckle → 3-ply Cutting → 5-ply Deckle → 5-ply Cutting)</t>
  </si>
  <si>
    <t>Code</t>
  </si>
  <si>
    <t>Box Type Name</t>
  </si>
  <si>
    <t>Deckle Formula</t>
  </si>
  <si>
    <t>Cutting Formula</t>
  </si>
  <si>
    <t>3-ply
Dkl (mm)</t>
  </si>
  <si>
    <t>3-ply
Cut (mm)</t>
  </si>
  <si>
    <t>5-ply
Dkl (mm)</t>
  </si>
  <si>
    <t>5-ply
Cut (mm)</t>
  </si>
  <si>
    <t>Gap/Up
(mm)</t>
  </si>
  <si>
    <t>Industry Reference</t>
  </si>
  <si>
    <t>Regular Slotted Carton</t>
  </si>
  <si>
    <t>(W+H+10)×Ups+trim</t>
  </si>
  <si>
    <t>(L+W)×2+trim</t>
  </si>
  <si>
    <t>Universal</t>
  </si>
  <si>
    <t>10mm inter-blank gap per up for RSC. Trim: 30→60→35→75.</t>
  </si>
  <si>
    <t>Half-RSC Regular</t>
  </si>
  <si>
    <t>(W/2+H)×Ups+trim</t>
  </si>
  <si>
    <t>Textile, coolers, WM/fridge (pending)</t>
  </si>
  <si>
    <t>No inter-blank gap. W/2 = one-sided flaps.</t>
  </si>
  <si>
    <t>Half-RSC Large (V Box)</t>
  </si>
  <si>
    <t>Solar panel boxes (all clients)</t>
  </si>
  <si>
    <t>Large format. Accompanied by flat base sheet.</t>
  </si>
  <si>
    <t>HRSC-O</t>
  </si>
  <si>
    <t>Half-RSC Open (Sleeve)</t>
  </si>
  <si>
    <t>H×Ups+trim</t>
  </si>
  <si>
    <t>Oil sleeve — Marico-type</t>
  </si>
  <si>
    <t>Open both ends. Deckle=H only.</t>
  </si>
  <si>
    <t>Die-cut Small</t>
  </si>
  <si>
    <t>(W+H)×Ups+trim</t>
  </si>
  <si>
    <t>Ice cream, footwear inner, e-comm</t>
  </si>
  <si>
    <t>Confirm per client machine spec. No inter-blank gap.</t>
  </si>
  <si>
    <t>Die-cut Regular</t>
  </si>
  <si>
    <t>Paints sector (Birla Opus, Asian Paints)</t>
  </si>
  <si>
    <t>Higher trim = automated erection line tolerance. Confirm per die layout.</t>
  </si>
  <si>
    <t>PP</t>
  </si>
  <si>
    <t>Plates &amp; Partitions (P&amp;P)</t>
  </si>
  <si>
    <t>F×Ups+trim</t>
  </si>
  <si>
    <t>G+trim</t>
  </si>
  <si>
    <t>Alcobev, biscuits, paints, textile accessories</t>
  </si>
  <si>
    <t>Zero-trim P&amp;P master (client-cut sheets). Dims formula-linked to parent Box row unless overridden by App input (F=L-5, G=W-5 for Plate).</t>
  </si>
  <si>
    <t>Board</t>
  </si>
  <si>
    <t>Board / Flat Sheet</t>
  </si>
  <si>
    <t>Alcobev, biscuits, paints accessories</t>
  </si>
  <si>
    <t>Genuine flat-board box type (own trim margins, distinct from zero-trim PP master).</t>
  </si>
  <si>
    <t>Custom</t>
  </si>
  <si>
    <t>Custom / Non-standard</t>
  </si>
  <si>
    <t>Manual input</t>
  </si>
  <si>
    <t>Specialized geometries</t>
  </si>
  <si>
    <t>Enter trim directly. Document die spec. Trim override enabled for Custom only.</t>
  </si>
  <si>
    <t>QUOTATION</t>
  </si>
  <si>
    <t>To:</t>
  </si>
  <si>
    <t>Ref:</t>
  </si>
  <si>
    <t>Sr No</t>
  </si>
  <si>
    <t>SKU Description</t>
  </si>
  <si>
    <t>Dims L×W×H</t>
  </si>
  <si>
    <t>Ply</t>
  </si>
  <si>
    <t>TERMS &amp; CONDITIONS:</t>
  </si>
  <si>
    <t>1. Rates are LANDED and EXCLUDE GST (applicable at prevailing rates).</t>
  </si>
  <si>
    <t>2. Orders on MOQ per SKU and Full Container Load (FCL) per delivery.</t>
  </si>
  <si>
    <t>3. Payment terms: 30 Days from invoice (unless otherwise agreed).</t>
  </si>
  <si>
    <t>4. Unloading at delivery site is on customer account.</t>
  </si>
  <si>
    <t>5. First delivery: 10–15 working days. Repeat: 3–7 working days.</t>
  </si>
  <si>
    <t>6. Rates valid for current quarter — subject to review on paper price change.</t>
  </si>
  <si>
    <t>7. Multi-location clients: freight rate per delivery location per DEFAULTS sheet.</t>
  </si>
  <si>
    <t>Std Cobb (Max g/m²)</t>
  </si>
  <si>
    <t>Std Box Wt
(g +-5%)</t>
  </si>
  <si>
    <t>Est Box Wt
(g)</t>
  </si>
  <si>
    <t>Final Rate ex-GST
(Rs/Pc)</t>
  </si>
  <si>
    <t>GSM (Avg)</t>
  </si>
  <si>
    <t>BS
(Min)</t>
  </si>
  <si>
    <t>BCT/CS
(Min)</t>
  </si>
  <si>
    <t>Std
GSM
(Avg)</t>
  </si>
  <si>
    <t>Calc
GSM
(Avg)</t>
  </si>
  <si>
    <t>25 BF 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</si>
</sst>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0.0000"/>
    <numFmt numFmtId="166" formatCode="0.000"/>
    <numFmt numFmtId="167" formatCode="d\-mmm\-yy"/>
    <numFmt numFmtId="168" formatCode="0.0"/>
  </numFmts>
  <fonts count="27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9"/>
      <color rgb="FF595959"/>
      <name val="Arial"/>
      <family val="2"/>
    </font>
    <font>
      <b/>
      <sz val="9"/>
      <name val="Arial"/>
      <family val="2"/>
    </font>
    <font>
      <sz val="9"/>
      <color rgb="FF0000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4E78"/>
      <name val="Arial"/>
      <family val="2"/>
    </font>
    <font>
      <b/>
      <sz val="9"/>
      <color rgb="FFC00000"/>
      <name val="Arial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i/>
      <sz val="8"/>
      <color rgb="FF595959"/>
      <name val="Arial"/>
      <family val="2"/>
    </font>
    <font>
      <b/>
      <sz val="11"/>
      <color rgb="FFFFFFFF"/>
      <name val="Arial"/>
      <family val="2"/>
    </font>
    <font>
      <b/>
      <sz val="9"/>
      <color rgb="FF375623"/>
      <name val="Arial"/>
      <family val="2"/>
    </font>
    <font>
      <b/>
      <sz val="9"/>
      <color rgb="FF595959"/>
      <name val="Arial"/>
      <family val="2"/>
    </font>
    <font>
      <b/>
      <sz val="13"/>
      <color rgb="FF1F4E78"/>
      <name val="Arial"/>
      <family val="2"/>
    </font>
    <font>
      <sz val="9"/>
      <color rgb="FF008000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b/>
      <sz val="20"/>
      <color rgb="FF1F4E78"/>
      <name val="Arial"/>
      <family val="2"/>
    </font>
    <font>
      <sz val="10"/>
      <color rgb="FF1F4E78"/>
      <name val="Arial"/>
      <family val="2"/>
    </font>
    <font>
      <sz val="9"/>
      <color rgb="FF595959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b/>
      <sz val="11"/>
      <color theme="1"/>
      <name val="Calibri"/>
      <family val="2"/>
    </font>
    <font>
      <i/>
      <sz val="8"/>
      <color rgb="FF595959"/>
      <name val="Calibri"/>
      <family val="2"/>
    </font>
    <font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2E4057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CE6F1"/>
      </patternFill>
    </fill>
    <fill>
      <patternFill patternType="solid">
        <fgColor rgb="FFF2F2F2"/>
        <bgColor rgb="FFE2EFDA"/>
      </patternFill>
    </fill>
    <fill>
      <patternFill patternType="solid">
        <fgColor rgb="FFBF5700"/>
        <bgColor rgb="FF833C00"/>
      </patternFill>
    </fill>
    <fill>
      <patternFill patternType="solid">
        <fgColor rgb="FFF2DCDB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2DCDB"/>
      </patternFill>
    </fill>
    <fill>
      <patternFill patternType="solid">
        <fgColor rgb="FF375623"/>
        <bgColor rgb="FF2E4057"/>
      </patternFill>
    </fill>
    <fill>
      <patternFill patternType="solid">
        <fgColor rgb="FF833C00"/>
        <bgColor rgb="FF993366"/>
      </patternFill>
    </fill>
    <fill>
      <patternFill patternType="solid">
        <fgColor rgb="FF2E4057"/>
        <bgColor rgb="FF1F4E78"/>
      </patternFill>
    </fill>
    <fill>
      <patternFill patternType="solid">
        <fgColor rgb="FF595959"/>
        <bgColor rgb="FF375623"/>
      </patternFill>
    </fill>
    <fill>
      <patternFill patternType="solid">
        <fgColor rgb="FFDCE6F1"/>
        <b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13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3" fillId="0" borderId="0" xfId="0" applyFont="1"/>
    <xf numFmtId="164" fontId="4" fillId="2" borderId="1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4" fontId="8" fillId="8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0" borderId="0" xfId="0" applyFont="1"/>
    <xf numFmtId="0" fontId="5" fillId="11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7" fillId="3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4" fontId="4" fillId="10" borderId="1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16" fillId="5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4" fontId="16" fillId="15" borderId="1" xfId="0" applyNumberFormat="1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166" fontId="18" fillId="5" borderId="1" xfId="0" applyNumberFormat="1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wrapText="1"/>
    </xf>
    <xf numFmtId="4" fontId="7" fillId="15" borderId="1" xfId="0" applyNumberFormat="1" applyFont="1" applyFill="1" applyBorder="1" applyAlignment="1">
      <alignment horizontal="center" vertical="center" wrapText="1"/>
    </xf>
    <xf numFmtId="0" fontId="20" fillId="0" borderId="0" xfId="0" applyFont="1"/>
    <xf numFmtId="167" fontId="20" fillId="0" borderId="0" xfId="0" applyNumberFormat="1" applyFont="1"/>
    <xf numFmtId="3" fontId="6" fillId="4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67" fontId="4" fillId="2" borderId="1" xfId="0" applyNumberFormat="1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 wrapText="1"/>
    </xf>
    <xf numFmtId="9" fontId="0" fillId="0" borderId="0" xfId="0" applyNumberFormat="1"/>
    <xf numFmtId="1" fontId="0" fillId="0" borderId="0" xfId="0" applyNumberFormat="1"/>
    <xf numFmtId="0" fontId="24" fillId="0" borderId="0" xfId="0" applyFont="1"/>
    <xf numFmtId="9" fontId="24" fillId="0" borderId="0" xfId="0" applyNumberFormat="1" applyFont="1"/>
    <xf numFmtId="0" fontId="25" fillId="0" borderId="0" xfId="0" applyFont="1"/>
    <xf numFmtId="0" fontId="5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10" fontId="16" fillId="5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center" vertical="center" wrapText="1"/>
    </xf>
    <xf numFmtId="168" fontId="6" fillId="4" borderId="1" xfId="0" applyNumberFormat="1" applyFont="1" applyFill="1" applyBorder="1" applyAlignment="1">
      <alignment horizontal="center" vertical="center" wrapText="1"/>
    </xf>
    <xf numFmtId="168" fontId="6" fillId="6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7" fillId="13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2" fillId="8" borderId="0" xfId="0" applyFont="1" applyFill="1"/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9" borderId="0" xfId="0" applyFont="1" applyFill="1" applyAlignment="1">
      <alignment horizontal="left" vertical="center" wrapText="1"/>
    </xf>
    <xf numFmtId="0" fontId="12" fillId="11" borderId="0" xfId="0" applyFont="1" applyFill="1" applyAlignment="1">
      <alignment horizontal="left" vertical="center" wrapText="1"/>
    </xf>
    <xf numFmtId="0" fontId="2" fillId="10" borderId="0" xfId="0" applyFont="1" applyFill="1"/>
    <xf numFmtId="0" fontId="21" fillId="0" borderId="0" xfId="0" applyFont="1"/>
    <xf numFmtId="0" fontId="19" fillId="0" borderId="0" xfId="0" applyFont="1" applyAlignment="1">
      <alignment horizontal="center" vertical="center" wrapText="1"/>
    </xf>
    <xf numFmtId="0" fontId="7" fillId="0" borderId="0" xfId="0" applyFont="1"/>
    <xf numFmtId="43" fontId="4" fillId="2" borderId="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2DCDB"/>
      <rgbColor rgb="FF2E75B6"/>
      <rgbColor rgb="FF33CCCC"/>
      <rgbColor rgb="FF99CC00"/>
      <rgbColor rgb="FFFFCC00"/>
      <rgbColor rgb="FFFF9900"/>
      <rgbColor rgb="FFBF5700"/>
      <rgbColor rgb="FF595959"/>
      <rgbColor rgb="FF969696"/>
      <rgbColor rgb="FF003366"/>
      <rgbColor rgb="FF339966"/>
      <rgbColor rgb="FF003300"/>
      <rgbColor rgb="FF375623"/>
      <rgbColor rgb="FF833C00"/>
      <rgbColor rgb="FF993366"/>
      <rgbColor rgb="FF1F4E78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Q32"/>
  <sheetViews>
    <sheetView showGridLines="0" tabSelected="1" zoomScaleNormal="100" workbookViewId="0">
      <pane ySplit="6" topLeftCell="A7" activePane="bottomLeft" state="frozen"/>
      <selection pane="bottomLeft" activeCell="A6" sqref="A6"/>
    </sheetView>
  </sheetViews>
  <sheetFormatPr defaultColWidth="8.6640625" defaultRowHeight="14.25" x14ac:dyDescent="0.45"/>
  <cols>
    <col min="1" max="1" width="12" customWidth="1"/>
    <col min="2" max="2" width="38" customWidth="1"/>
    <col min="3" max="5" width="12" customWidth="1"/>
    <col min="6" max="6" width="11" customWidth="1"/>
    <col min="7" max="7" width="14" customWidth="1"/>
    <col min="8" max="8" width="22" customWidth="1"/>
    <col min="12" max="12" width="13.06640625" bestFit="1" customWidth="1"/>
    <col min="15" max="15" width="36.3984375" customWidth="1"/>
  </cols>
  <sheetData>
    <row r="1" spans="1:17" ht="17.25" customHeight="1" x14ac:dyDescent="0.45">
      <c r="A1" s="103" t="s">
        <v>95</v>
      </c>
      <c r="B1" s="101"/>
      <c r="C1" s="101"/>
      <c r="D1" s="101"/>
      <c r="E1" s="101"/>
      <c r="F1" s="101"/>
      <c r="G1" s="101"/>
    </row>
    <row r="2" spans="1:17" ht="15" customHeight="1" x14ac:dyDescent="0.45">
      <c r="A2" s="102" t="s">
        <v>96</v>
      </c>
      <c r="B2" s="101"/>
      <c r="C2" s="101"/>
      <c r="D2" s="101"/>
      <c r="E2" s="101"/>
      <c r="F2" s="101"/>
      <c r="G2" s="101"/>
    </row>
    <row r="4" spans="1:17" ht="15" customHeight="1" x14ac:dyDescent="0.45">
      <c r="A4" s="3" t="s">
        <v>97</v>
      </c>
      <c r="B4" s="4">
        <v>1.4999999999999999E-2</v>
      </c>
    </row>
    <row r="6" spans="1:17" ht="33.75" customHeight="1" x14ac:dyDescent="0.45">
      <c r="A6" s="1" t="s">
        <v>98</v>
      </c>
      <c r="B6" s="1" t="s">
        <v>99</v>
      </c>
      <c r="C6" s="1" t="s">
        <v>100</v>
      </c>
      <c r="D6" s="1" t="s">
        <v>101</v>
      </c>
      <c r="E6" s="1" t="s">
        <v>102</v>
      </c>
      <c r="F6" s="1" t="s">
        <v>103</v>
      </c>
      <c r="G6" s="1" t="s">
        <v>104</v>
      </c>
      <c r="H6" s="81" t="s">
        <v>105</v>
      </c>
      <c r="K6" s="13" t="s">
        <v>149</v>
      </c>
      <c r="L6" s="13" t="s">
        <v>150</v>
      </c>
      <c r="M6" s="13" t="s">
        <v>151</v>
      </c>
      <c r="N6" s="13" t="s">
        <v>152</v>
      </c>
      <c r="O6" s="13" t="s">
        <v>153</v>
      </c>
      <c r="P6" s="84">
        <v>0</v>
      </c>
    </row>
    <row r="7" spans="1:17" ht="15" customHeight="1" x14ac:dyDescent="0.45">
      <c r="A7" s="5" t="s">
        <v>106</v>
      </c>
      <c r="B7" s="6" t="s">
        <v>107</v>
      </c>
      <c r="C7" s="7">
        <v>31.5</v>
      </c>
      <c r="D7" s="8">
        <f t="shared" ref="D7:D24" si="0">C7*$B$4</f>
        <v>0.47249999999999998</v>
      </c>
      <c r="E7" s="7">
        <v>1</v>
      </c>
      <c r="F7" s="7">
        <v>0</v>
      </c>
      <c r="G7" s="112">
        <f t="shared" ref="G7:G24" si="1">C7+D7-E7+F7</f>
        <v>30.9725</v>
      </c>
      <c r="K7" s="14">
        <v>0</v>
      </c>
      <c r="L7" s="6" t="s">
        <v>154</v>
      </c>
      <c r="M7" s="15">
        <v>4</v>
      </c>
      <c r="N7" s="16" t="s">
        <v>155</v>
      </c>
      <c r="O7" s="9" t="s">
        <v>156</v>
      </c>
    </row>
    <row r="8" spans="1:17" ht="15" customHeight="1" x14ac:dyDescent="0.45">
      <c r="A8" s="10" t="s">
        <v>108</v>
      </c>
      <c r="B8" s="11" t="s">
        <v>109</v>
      </c>
      <c r="C8" s="7">
        <v>32</v>
      </c>
      <c r="D8" s="8">
        <f t="shared" si="0"/>
        <v>0.48</v>
      </c>
      <c r="E8" s="7">
        <v>1</v>
      </c>
      <c r="F8" s="7">
        <v>0</v>
      </c>
      <c r="G8" s="112">
        <f t="shared" si="1"/>
        <v>31.479999999999997</v>
      </c>
      <c r="K8" s="17">
        <v>100</v>
      </c>
      <c r="L8" s="11" t="s">
        <v>157</v>
      </c>
      <c r="M8" s="18">
        <v>1.5</v>
      </c>
      <c r="N8" s="19" t="s">
        <v>155</v>
      </c>
      <c r="O8" s="12" t="s">
        <v>158</v>
      </c>
      <c r="P8" s="83">
        <v>0</v>
      </c>
    </row>
    <row r="9" spans="1:17" ht="15" customHeight="1" x14ac:dyDescent="0.45">
      <c r="A9" s="5" t="s">
        <v>110</v>
      </c>
      <c r="B9" s="6" t="s">
        <v>111</v>
      </c>
      <c r="C9" s="7">
        <v>33.5</v>
      </c>
      <c r="D9" s="8">
        <f t="shared" si="0"/>
        <v>0.50249999999999995</v>
      </c>
      <c r="E9" s="7">
        <v>1</v>
      </c>
      <c r="F9" s="7">
        <v>0</v>
      </c>
      <c r="G9" s="112">
        <f t="shared" si="1"/>
        <v>33.002499999999998</v>
      </c>
      <c r="K9" s="14">
        <v>101</v>
      </c>
      <c r="L9" s="6" t="s">
        <v>159</v>
      </c>
      <c r="M9" s="20">
        <v>0</v>
      </c>
      <c r="N9" s="16" t="s">
        <v>155</v>
      </c>
      <c r="O9" s="9" t="s">
        <v>160</v>
      </c>
      <c r="P9" s="82">
        <v>0</v>
      </c>
    </row>
    <row r="10" spans="1:17" ht="15" customHeight="1" x14ac:dyDescent="0.45">
      <c r="A10" s="10" t="s">
        <v>112</v>
      </c>
      <c r="B10" s="11" t="s">
        <v>113</v>
      </c>
      <c r="C10" s="7">
        <v>38</v>
      </c>
      <c r="D10" s="8">
        <f t="shared" si="0"/>
        <v>0.56999999999999995</v>
      </c>
      <c r="E10" s="7">
        <v>1</v>
      </c>
      <c r="F10" s="7">
        <v>0</v>
      </c>
      <c r="G10" s="112">
        <f t="shared" si="1"/>
        <v>37.57</v>
      </c>
      <c r="K10" s="17">
        <v>201</v>
      </c>
      <c r="L10" s="11" t="s">
        <v>161</v>
      </c>
      <c r="M10" s="21">
        <v>1</v>
      </c>
      <c r="N10" s="19" t="s">
        <v>155</v>
      </c>
      <c r="O10" s="12" t="s">
        <v>162</v>
      </c>
      <c r="P10" s="83">
        <v>0</v>
      </c>
    </row>
    <row r="11" spans="1:17" ht="21.75" customHeight="1" x14ac:dyDescent="0.45">
      <c r="A11" s="5" t="s">
        <v>114</v>
      </c>
      <c r="B11" s="6" t="s">
        <v>115</v>
      </c>
      <c r="C11" s="7">
        <v>40</v>
      </c>
      <c r="D11" s="8">
        <f t="shared" si="0"/>
        <v>0.6</v>
      </c>
      <c r="E11" s="7">
        <v>1</v>
      </c>
      <c r="F11" s="7">
        <v>0</v>
      </c>
      <c r="G11" s="112">
        <f t="shared" si="1"/>
        <v>39.6</v>
      </c>
      <c r="H11" s="82" t="s">
        <v>116</v>
      </c>
    </row>
    <row r="12" spans="1:17" ht="21.75" customHeight="1" x14ac:dyDescent="0.45">
      <c r="A12" s="5">
        <v>25</v>
      </c>
      <c r="B12" s="6" t="s">
        <v>353</v>
      </c>
      <c r="C12" s="7">
        <v>41.25</v>
      </c>
      <c r="D12" s="8">
        <f t="shared" si="0"/>
        <v>0.61875000000000002</v>
      </c>
      <c r="E12" s="7">
        <v>1</v>
      </c>
      <c r="F12" s="7">
        <v>0</v>
      </c>
      <c r="G12" s="112">
        <f t="shared" ref="G12" si="2">C12+D12-E12+F12</f>
        <v>40.868749999999999</v>
      </c>
      <c r="H12" s="82"/>
      <c r="K12" s="100" t="s">
        <v>163</v>
      </c>
      <c r="L12" s="101"/>
      <c r="M12" s="101"/>
      <c r="N12" s="101"/>
      <c r="O12" s="101"/>
      <c r="P12" s="101"/>
      <c r="Q12" s="101"/>
    </row>
    <row r="13" spans="1:17" ht="15" customHeight="1" x14ac:dyDescent="0.45">
      <c r="A13" s="10" t="s">
        <v>117</v>
      </c>
      <c r="B13" s="11" t="s">
        <v>118</v>
      </c>
      <c r="C13" s="7">
        <v>43.5</v>
      </c>
      <c r="D13" s="8">
        <f t="shared" si="0"/>
        <v>0.65249999999999997</v>
      </c>
      <c r="E13" s="7">
        <v>1</v>
      </c>
      <c r="F13" s="7">
        <v>0</v>
      </c>
      <c r="G13" s="112">
        <f t="shared" si="1"/>
        <v>43.152500000000003</v>
      </c>
    </row>
    <row r="14" spans="1:17" ht="15" customHeight="1" x14ac:dyDescent="0.45">
      <c r="A14" s="5" t="s">
        <v>119</v>
      </c>
      <c r="B14" s="6" t="s">
        <v>120</v>
      </c>
      <c r="C14" s="7">
        <v>51</v>
      </c>
      <c r="D14" s="8">
        <f t="shared" si="0"/>
        <v>0.76500000000000001</v>
      </c>
      <c r="E14" s="7">
        <v>1</v>
      </c>
      <c r="F14" s="7">
        <v>0</v>
      </c>
      <c r="G14" s="112">
        <f t="shared" si="1"/>
        <v>50.765000000000001</v>
      </c>
      <c r="H14" s="82" t="s">
        <v>121</v>
      </c>
    </row>
    <row r="15" spans="1:17" ht="15" customHeight="1" x14ac:dyDescent="0.45">
      <c r="A15" s="10" t="s">
        <v>122</v>
      </c>
      <c r="B15" s="11" t="s">
        <v>123</v>
      </c>
      <c r="C15" s="7">
        <v>35</v>
      </c>
      <c r="D15" s="8">
        <f t="shared" si="0"/>
        <v>0.52500000000000002</v>
      </c>
      <c r="E15" s="7">
        <v>1</v>
      </c>
      <c r="F15" s="7">
        <v>0</v>
      </c>
      <c r="G15" s="112">
        <f t="shared" si="1"/>
        <v>34.524999999999999</v>
      </c>
    </row>
    <row r="16" spans="1:17" ht="15" customHeight="1" x14ac:dyDescent="0.45">
      <c r="A16" s="5" t="s">
        <v>124</v>
      </c>
      <c r="B16" s="6" t="s">
        <v>125</v>
      </c>
      <c r="C16" s="7">
        <v>39.5</v>
      </c>
      <c r="D16" s="8">
        <f t="shared" si="0"/>
        <v>0.59250000000000003</v>
      </c>
      <c r="E16" s="7">
        <v>1</v>
      </c>
      <c r="F16" s="7">
        <v>0</v>
      </c>
      <c r="G16" s="112">
        <f t="shared" si="1"/>
        <v>39.092500000000001</v>
      </c>
    </row>
    <row r="17" spans="1:8" ht="15" customHeight="1" x14ac:dyDescent="0.45">
      <c r="A17" s="10" t="s">
        <v>126</v>
      </c>
      <c r="B17" s="11" t="s">
        <v>127</v>
      </c>
      <c r="C17" s="7">
        <v>41.5</v>
      </c>
      <c r="D17" s="8">
        <f t="shared" si="0"/>
        <v>0.62249999999999994</v>
      </c>
      <c r="E17" s="7">
        <v>1</v>
      </c>
      <c r="F17" s="7">
        <v>0</v>
      </c>
      <c r="G17" s="112">
        <f t="shared" si="1"/>
        <v>41.122500000000002</v>
      </c>
      <c r="H17" s="83" t="s">
        <v>128</v>
      </c>
    </row>
    <row r="18" spans="1:8" ht="15" customHeight="1" x14ac:dyDescent="0.45">
      <c r="A18" s="5" t="s">
        <v>129</v>
      </c>
      <c r="B18" s="6" t="s">
        <v>130</v>
      </c>
      <c r="C18" s="7">
        <v>44.5</v>
      </c>
      <c r="D18" s="8">
        <f t="shared" si="0"/>
        <v>0.66749999999999998</v>
      </c>
      <c r="E18" s="7">
        <v>1</v>
      </c>
      <c r="F18" s="7">
        <v>0</v>
      </c>
      <c r="G18" s="112">
        <f t="shared" si="1"/>
        <v>44.167499999999997</v>
      </c>
      <c r="H18" s="82" t="s">
        <v>131</v>
      </c>
    </row>
    <row r="19" spans="1:8" ht="15" customHeight="1" x14ac:dyDescent="0.45">
      <c r="A19" s="10" t="s">
        <v>132</v>
      </c>
      <c r="B19" s="11" t="s">
        <v>133</v>
      </c>
      <c r="C19" s="7">
        <v>49</v>
      </c>
      <c r="D19" s="8">
        <f t="shared" si="0"/>
        <v>0.73499999999999999</v>
      </c>
      <c r="E19" s="7">
        <v>1.5</v>
      </c>
      <c r="F19" s="7">
        <v>0</v>
      </c>
      <c r="G19" s="112">
        <f t="shared" si="1"/>
        <v>48.234999999999999</v>
      </c>
    </row>
    <row r="20" spans="1:8" ht="15" customHeight="1" x14ac:dyDescent="0.45">
      <c r="A20" s="5" t="s">
        <v>134</v>
      </c>
      <c r="B20" s="6" t="s">
        <v>135</v>
      </c>
      <c r="C20" s="7">
        <v>52</v>
      </c>
      <c r="D20" s="8">
        <f t="shared" si="0"/>
        <v>0.78</v>
      </c>
      <c r="E20" s="7">
        <v>1</v>
      </c>
      <c r="F20" s="7">
        <v>0</v>
      </c>
      <c r="G20" s="112">
        <f t="shared" si="1"/>
        <v>51.78</v>
      </c>
      <c r="H20" s="82" t="s">
        <v>136</v>
      </c>
    </row>
    <row r="21" spans="1:8" ht="15" customHeight="1" x14ac:dyDescent="0.45">
      <c r="A21" s="10" t="s">
        <v>137</v>
      </c>
      <c r="B21" s="11" t="s">
        <v>138</v>
      </c>
      <c r="C21" s="7">
        <v>76</v>
      </c>
      <c r="D21" s="8">
        <f t="shared" si="0"/>
        <v>1.1399999999999999</v>
      </c>
      <c r="E21" s="7">
        <v>1</v>
      </c>
      <c r="F21" s="7">
        <v>0</v>
      </c>
      <c r="G21" s="112">
        <f t="shared" si="1"/>
        <v>76.14</v>
      </c>
      <c r="H21" s="83" t="s">
        <v>139</v>
      </c>
    </row>
    <row r="22" spans="1:8" ht="15" customHeight="1" x14ac:dyDescent="0.45">
      <c r="A22" s="5" t="s">
        <v>140</v>
      </c>
      <c r="B22" s="6" t="s">
        <v>141</v>
      </c>
      <c r="C22" s="7">
        <v>45</v>
      </c>
      <c r="D22" s="8">
        <f t="shared" si="0"/>
        <v>0.67499999999999993</v>
      </c>
      <c r="E22" s="7">
        <v>1</v>
      </c>
      <c r="F22" s="7">
        <v>0</v>
      </c>
      <c r="G22" s="112">
        <f t="shared" si="1"/>
        <v>44.674999999999997</v>
      </c>
      <c r="H22" s="82" t="s">
        <v>142</v>
      </c>
    </row>
    <row r="23" spans="1:8" ht="15" customHeight="1" x14ac:dyDescent="0.45">
      <c r="A23" s="10" t="s">
        <v>143</v>
      </c>
      <c r="B23" s="11" t="s">
        <v>144</v>
      </c>
      <c r="C23" s="7">
        <v>44.5</v>
      </c>
      <c r="D23" s="8">
        <f t="shared" si="0"/>
        <v>0.66749999999999998</v>
      </c>
      <c r="E23" s="7">
        <v>1</v>
      </c>
      <c r="F23" s="7">
        <v>0</v>
      </c>
      <c r="G23" s="112">
        <f t="shared" si="1"/>
        <v>44.167499999999997</v>
      </c>
      <c r="H23" s="83" t="s">
        <v>145</v>
      </c>
    </row>
    <row r="24" spans="1:8" ht="15" customHeight="1" x14ac:dyDescent="0.45">
      <c r="A24" s="5" t="s">
        <v>146</v>
      </c>
      <c r="B24" s="6" t="s">
        <v>147</v>
      </c>
      <c r="C24" s="7">
        <v>68</v>
      </c>
      <c r="D24" s="8">
        <f t="shared" si="0"/>
        <v>1.02</v>
      </c>
      <c r="E24" s="7">
        <v>1</v>
      </c>
      <c r="F24" s="7">
        <v>0</v>
      </c>
      <c r="G24" s="112">
        <f t="shared" si="1"/>
        <v>68.02</v>
      </c>
      <c r="H24" s="82" t="s">
        <v>148</v>
      </c>
    </row>
    <row r="26" spans="1:8" ht="21.75" customHeight="1" x14ac:dyDescent="0.45"/>
    <row r="27" spans="1:8" ht="32.25" customHeight="1" x14ac:dyDescent="0.45"/>
    <row r="28" spans="1:8" ht="42.75" customHeight="1" x14ac:dyDescent="0.45"/>
    <row r="29" spans="1:8" ht="21.75" customHeight="1" x14ac:dyDescent="0.45"/>
    <row r="30" spans="1:8" ht="32.25" customHeight="1" x14ac:dyDescent="0.45"/>
    <row r="32" spans="1:8" ht="15" customHeight="1" x14ac:dyDescent="0.45"/>
  </sheetData>
  <mergeCells count="3">
    <mergeCell ref="K12:Q12"/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V37"/>
  <sheetViews>
    <sheetView showGridLines="0" zoomScaleNormal="100" workbookViewId="0">
      <pane xSplit="1" ySplit="4" topLeftCell="C19" activePane="bottomRight" state="frozen"/>
      <selection pane="topRight" activeCell="L1" sqref="L1"/>
      <selection pane="bottomLeft" activeCell="A5" sqref="A5"/>
      <selection pane="bottomRight" activeCell="I33" sqref="I33"/>
    </sheetView>
  </sheetViews>
  <sheetFormatPr defaultColWidth="8.6640625" defaultRowHeight="14.25" x14ac:dyDescent="0.45"/>
  <cols>
    <col min="1" max="1" width="10" customWidth="1"/>
    <col min="2" max="2" width="24" customWidth="1"/>
    <col min="3" max="4" width="22" customWidth="1"/>
    <col min="5" max="8" width="9" customWidth="1"/>
    <col min="9" max="9" width="8" customWidth="1"/>
    <col min="10" max="10" width="38" customWidth="1"/>
    <col min="11" max="11" width="48" customWidth="1"/>
    <col min="12" max="12" width="2" customWidth="1"/>
    <col min="13" max="13" width="8" customWidth="1"/>
    <col min="14" max="14" width="12" customWidth="1"/>
    <col min="15" max="17" width="8" customWidth="1"/>
    <col min="19" max="19" width="20" customWidth="1"/>
    <col min="20" max="20" width="14" customWidth="1"/>
  </cols>
  <sheetData>
    <row r="1" spans="1:22" ht="15" customHeight="1" x14ac:dyDescent="0.45">
      <c r="A1" s="105" t="s">
        <v>164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M1" s="106" t="s">
        <v>165</v>
      </c>
      <c r="N1" s="101"/>
      <c r="O1" s="101"/>
      <c r="P1" s="101"/>
      <c r="Q1" s="101"/>
    </row>
    <row r="2" spans="1:22" ht="21.75" customHeight="1" x14ac:dyDescent="0.45">
      <c r="A2" s="102" t="s">
        <v>166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M2" s="22" t="s">
        <v>167</v>
      </c>
      <c r="N2" s="22" t="s">
        <v>168</v>
      </c>
      <c r="O2" s="22" t="s">
        <v>169</v>
      </c>
      <c r="P2" s="22" t="s">
        <v>170</v>
      </c>
      <c r="Q2" s="22" t="s">
        <v>171</v>
      </c>
      <c r="T2" s="104" t="s">
        <v>172</v>
      </c>
      <c r="U2" s="91"/>
      <c r="V2" s="92"/>
    </row>
    <row r="3" spans="1:22" ht="31.5" customHeight="1" x14ac:dyDescent="0.45">
      <c r="M3" s="5" t="s">
        <v>173</v>
      </c>
      <c r="N3" s="23">
        <v>1.51</v>
      </c>
      <c r="O3" s="24">
        <v>1.51</v>
      </c>
      <c r="P3" s="24">
        <v>1.51</v>
      </c>
      <c r="Q3" s="24">
        <v>1.51</v>
      </c>
      <c r="S3" s="1" t="s">
        <v>174</v>
      </c>
      <c r="T3" s="1" t="s">
        <v>169</v>
      </c>
      <c r="U3" s="1" t="s">
        <v>170</v>
      </c>
      <c r="V3" s="1" t="s">
        <v>171</v>
      </c>
    </row>
    <row r="4" spans="1:22" ht="36" customHeight="1" x14ac:dyDescent="0.45">
      <c r="A4" s="1" t="s">
        <v>175</v>
      </c>
      <c r="B4" s="1" t="s">
        <v>176</v>
      </c>
      <c r="C4" s="1" t="s">
        <v>177</v>
      </c>
      <c r="D4" s="1" t="s">
        <v>178</v>
      </c>
      <c r="E4" s="1" t="s">
        <v>179</v>
      </c>
      <c r="F4" s="1" t="s">
        <v>180</v>
      </c>
      <c r="G4" s="1" t="s">
        <v>181</v>
      </c>
      <c r="H4" s="1" t="s">
        <v>182</v>
      </c>
      <c r="I4" s="1" t="s">
        <v>183</v>
      </c>
      <c r="J4" s="1" t="s">
        <v>184</v>
      </c>
      <c r="K4" s="1" t="s">
        <v>105</v>
      </c>
      <c r="M4" s="10" t="s">
        <v>185</v>
      </c>
      <c r="N4" s="23">
        <v>1.37</v>
      </c>
      <c r="O4" s="24">
        <v>1.35</v>
      </c>
      <c r="P4" s="24">
        <v>1.37</v>
      </c>
      <c r="Q4" s="24">
        <v>1.35</v>
      </c>
      <c r="S4" s="25" t="s">
        <v>170</v>
      </c>
      <c r="T4" s="26">
        <v>4</v>
      </c>
      <c r="U4" s="26">
        <v>2</v>
      </c>
      <c r="V4" s="26">
        <v>2</v>
      </c>
    </row>
    <row r="5" spans="1:22" ht="15" customHeight="1" x14ac:dyDescent="0.45">
      <c r="A5" s="27" t="s">
        <v>186</v>
      </c>
      <c r="B5" s="6" t="s">
        <v>187</v>
      </c>
      <c r="C5" s="28" t="s">
        <v>188</v>
      </c>
      <c r="D5" s="28" t="s">
        <v>188</v>
      </c>
      <c r="E5" s="28">
        <v>7</v>
      </c>
      <c r="F5" s="28">
        <v>10</v>
      </c>
      <c r="G5" s="29" t="s">
        <v>189</v>
      </c>
      <c r="H5" s="28" t="s">
        <v>190</v>
      </c>
      <c r="I5" s="28" t="s">
        <v>191</v>
      </c>
      <c r="J5" s="29" t="s">
        <v>192</v>
      </c>
      <c r="K5" s="9" t="s">
        <v>193</v>
      </c>
      <c r="M5" s="5" t="s">
        <v>194</v>
      </c>
      <c r="N5" s="23">
        <v>1.47</v>
      </c>
      <c r="O5" s="24">
        <v>1.45</v>
      </c>
      <c r="P5" s="24">
        <v>1.47</v>
      </c>
      <c r="Q5" s="19" t="s">
        <v>195</v>
      </c>
      <c r="S5" s="25" t="s">
        <v>171</v>
      </c>
      <c r="T5" s="26">
        <v>4.2</v>
      </c>
      <c r="U5" s="26">
        <v>2.5</v>
      </c>
      <c r="V5" s="26">
        <v>1.8</v>
      </c>
    </row>
    <row r="6" spans="1:22" ht="21.75" customHeight="1" x14ac:dyDescent="0.45">
      <c r="A6" s="30" t="s">
        <v>196</v>
      </c>
      <c r="B6" s="11" t="s">
        <v>197</v>
      </c>
      <c r="C6" s="28" t="s">
        <v>188</v>
      </c>
      <c r="D6" s="28" t="s">
        <v>198</v>
      </c>
      <c r="E6" s="28">
        <v>7</v>
      </c>
      <c r="F6" s="28">
        <v>10.5</v>
      </c>
      <c r="G6" s="31" t="s">
        <v>199</v>
      </c>
      <c r="H6" s="28" t="s">
        <v>190</v>
      </c>
      <c r="I6" s="28" t="s">
        <v>191</v>
      </c>
      <c r="J6" s="31" t="s">
        <v>200</v>
      </c>
      <c r="K6" s="12" t="s">
        <v>201</v>
      </c>
      <c r="M6" s="10" t="s">
        <v>202</v>
      </c>
      <c r="N6" s="23">
        <v>1.31</v>
      </c>
      <c r="O6" s="24">
        <v>1.3</v>
      </c>
      <c r="P6" s="24">
        <v>1.31</v>
      </c>
      <c r="Q6" s="19" t="s">
        <v>195</v>
      </c>
      <c r="S6" s="25" t="s">
        <v>203</v>
      </c>
      <c r="T6" s="26">
        <v>3</v>
      </c>
      <c r="U6" s="26">
        <v>3</v>
      </c>
      <c r="V6" s="26">
        <v>3</v>
      </c>
    </row>
    <row r="7" spans="1:22" ht="21.75" customHeight="1" x14ac:dyDescent="0.45">
      <c r="A7" s="27" t="s">
        <v>204</v>
      </c>
      <c r="B7" s="6" t="s">
        <v>205</v>
      </c>
      <c r="C7" s="28" t="s">
        <v>188</v>
      </c>
      <c r="D7" s="28" t="s">
        <v>198</v>
      </c>
      <c r="E7" s="28">
        <v>7</v>
      </c>
      <c r="F7" s="28">
        <v>10.5</v>
      </c>
      <c r="G7" s="29" t="s">
        <v>199</v>
      </c>
      <c r="H7" s="28" t="s">
        <v>190</v>
      </c>
      <c r="I7" s="28" t="s">
        <v>191</v>
      </c>
      <c r="J7" s="29" t="s">
        <v>200</v>
      </c>
      <c r="K7" s="9" t="s">
        <v>206</v>
      </c>
      <c r="M7" s="108" t="s">
        <v>207</v>
      </c>
      <c r="N7" s="101"/>
      <c r="O7" s="101"/>
      <c r="P7" s="101"/>
      <c r="Q7" s="101"/>
      <c r="S7" s="25" t="s">
        <v>169</v>
      </c>
      <c r="T7" s="26">
        <v>1.5</v>
      </c>
      <c r="U7" s="26">
        <v>4</v>
      </c>
      <c r="V7" s="26">
        <v>4.2</v>
      </c>
    </row>
    <row r="8" spans="1:22" ht="15" customHeight="1" x14ac:dyDescent="0.45">
      <c r="A8" s="30" t="s">
        <v>208</v>
      </c>
      <c r="B8" s="11" t="s">
        <v>209</v>
      </c>
      <c r="C8" s="28" t="s">
        <v>188</v>
      </c>
      <c r="D8" s="28" t="s">
        <v>188</v>
      </c>
      <c r="E8" s="28">
        <v>12</v>
      </c>
      <c r="F8" s="28">
        <v>0</v>
      </c>
      <c r="G8" s="31" t="s">
        <v>199</v>
      </c>
      <c r="H8" s="28" t="s">
        <v>210</v>
      </c>
      <c r="I8" s="28" t="s">
        <v>191</v>
      </c>
      <c r="J8" s="31" t="s">
        <v>211</v>
      </c>
      <c r="K8" s="12" t="s">
        <v>212</v>
      </c>
      <c r="S8" s="25" t="s">
        <v>213</v>
      </c>
      <c r="T8" s="26">
        <v>2</v>
      </c>
      <c r="U8" s="26">
        <v>4.5</v>
      </c>
      <c r="V8" s="26">
        <v>4.5</v>
      </c>
    </row>
    <row r="9" spans="1:22" ht="21.75" customHeight="1" x14ac:dyDescent="0.45">
      <c r="A9" s="27" t="s">
        <v>214</v>
      </c>
      <c r="B9" s="6" t="s">
        <v>215</v>
      </c>
      <c r="C9" s="28" t="s">
        <v>188</v>
      </c>
      <c r="D9" s="28" t="s">
        <v>198</v>
      </c>
      <c r="E9" s="28">
        <v>15</v>
      </c>
      <c r="F9" s="28">
        <v>0</v>
      </c>
      <c r="G9" s="29" t="s">
        <v>216</v>
      </c>
      <c r="H9" s="28" t="s">
        <v>190</v>
      </c>
      <c r="I9" s="28" t="s">
        <v>191</v>
      </c>
      <c r="J9" s="29" t="s">
        <v>217</v>
      </c>
      <c r="K9" s="9" t="s">
        <v>218</v>
      </c>
      <c r="S9" s="25" t="s">
        <v>219</v>
      </c>
      <c r="T9" s="26">
        <v>1.5</v>
      </c>
      <c r="U9" s="26">
        <v>4</v>
      </c>
      <c r="V9" s="26">
        <v>4.2</v>
      </c>
    </row>
    <row r="10" spans="1:22" ht="21.75" customHeight="1" x14ac:dyDescent="0.45">
      <c r="A10" s="30" t="s">
        <v>220</v>
      </c>
      <c r="B10" s="11" t="s">
        <v>221</v>
      </c>
      <c r="C10" s="28" t="s">
        <v>188</v>
      </c>
      <c r="D10" s="28" t="s">
        <v>198</v>
      </c>
      <c r="E10" s="28">
        <v>6.5</v>
      </c>
      <c r="F10" s="28">
        <v>0</v>
      </c>
      <c r="G10" s="31" t="s">
        <v>222</v>
      </c>
      <c r="H10" s="28" t="s">
        <v>190</v>
      </c>
      <c r="I10" s="28" t="s">
        <v>191</v>
      </c>
      <c r="J10" s="31" t="s">
        <v>200</v>
      </c>
      <c r="K10" s="12" t="s">
        <v>223</v>
      </c>
      <c r="S10" s="25" t="s">
        <v>224</v>
      </c>
      <c r="T10" s="26">
        <v>3.5</v>
      </c>
      <c r="U10" s="26">
        <v>5.5</v>
      </c>
      <c r="V10" s="26">
        <v>5.5</v>
      </c>
    </row>
    <row r="11" spans="1:22" ht="21.75" customHeight="1" x14ac:dyDescent="0.45">
      <c r="A11" s="27" t="s">
        <v>225</v>
      </c>
      <c r="B11" s="6" t="s">
        <v>226</v>
      </c>
      <c r="C11" s="28" t="s">
        <v>188</v>
      </c>
      <c r="D11" s="28" t="s">
        <v>227</v>
      </c>
      <c r="E11" s="28">
        <v>11</v>
      </c>
      <c r="F11" s="28">
        <v>0</v>
      </c>
      <c r="G11" s="29" t="s">
        <v>199</v>
      </c>
      <c r="H11" s="28" t="s">
        <v>190</v>
      </c>
      <c r="I11" s="28" t="s">
        <v>191</v>
      </c>
      <c r="J11" s="29" t="s">
        <v>228</v>
      </c>
      <c r="K11" s="9" t="s">
        <v>229</v>
      </c>
      <c r="S11" s="25" t="s">
        <v>230</v>
      </c>
      <c r="T11" s="26">
        <v>4</v>
      </c>
      <c r="U11" s="26">
        <v>3.5</v>
      </c>
      <c r="V11" s="26">
        <v>3.5</v>
      </c>
    </row>
    <row r="12" spans="1:22" ht="15" customHeight="1" x14ac:dyDescent="0.45">
      <c r="A12" s="30" t="s">
        <v>231</v>
      </c>
      <c r="B12" s="11" t="s">
        <v>232</v>
      </c>
      <c r="C12" s="28" t="s">
        <v>188</v>
      </c>
      <c r="D12" s="28" t="s">
        <v>227</v>
      </c>
      <c r="E12" s="28">
        <v>5.75</v>
      </c>
      <c r="F12" s="28">
        <v>0</v>
      </c>
      <c r="G12" s="31" t="s">
        <v>199</v>
      </c>
      <c r="H12" s="28" t="s">
        <v>190</v>
      </c>
      <c r="I12" s="28" t="s">
        <v>191</v>
      </c>
      <c r="J12" s="31" t="s">
        <v>200</v>
      </c>
      <c r="K12" s="12" t="s">
        <v>233</v>
      </c>
      <c r="S12" s="25" t="s">
        <v>234</v>
      </c>
      <c r="T12" s="26">
        <v>5</v>
      </c>
      <c r="U12" s="26">
        <v>3</v>
      </c>
      <c r="V12" s="26">
        <v>2.5</v>
      </c>
    </row>
    <row r="13" spans="1:22" ht="15" customHeight="1" x14ac:dyDescent="0.45">
      <c r="A13" s="27" t="s">
        <v>235</v>
      </c>
      <c r="B13" s="6" t="s">
        <v>236</v>
      </c>
      <c r="C13" s="28" t="s">
        <v>188</v>
      </c>
      <c r="D13" s="28" t="s">
        <v>227</v>
      </c>
      <c r="E13" s="28">
        <v>12</v>
      </c>
      <c r="F13" s="28">
        <v>0</v>
      </c>
      <c r="G13" s="29" t="s">
        <v>237</v>
      </c>
      <c r="H13" s="28" t="s">
        <v>190</v>
      </c>
      <c r="I13" s="28" t="s">
        <v>191</v>
      </c>
      <c r="J13" s="29" t="s">
        <v>211</v>
      </c>
      <c r="K13" s="9" t="s">
        <v>238</v>
      </c>
      <c r="S13" s="25" t="s">
        <v>239</v>
      </c>
      <c r="T13" s="26">
        <v>4.5</v>
      </c>
      <c r="U13" s="26">
        <v>3.5</v>
      </c>
      <c r="V13" s="26">
        <v>3</v>
      </c>
    </row>
    <row r="14" spans="1:22" ht="21.75" customHeight="1" x14ac:dyDescent="0.45">
      <c r="A14" s="30" t="s">
        <v>240</v>
      </c>
      <c r="B14" s="11" t="s">
        <v>241</v>
      </c>
      <c r="C14" s="28" t="s">
        <v>242</v>
      </c>
      <c r="D14" s="28" t="s">
        <v>188</v>
      </c>
      <c r="E14" s="28">
        <v>7</v>
      </c>
      <c r="F14" s="28">
        <v>10</v>
      </c>
      <c r="G14" s="31" t="s">
        <v>243</v>
      </c>
      <c r="H14" s="28" t="s">
        <v>190</v>
      </c>
      <c r="I14" s="28" t="s">
        <v>191</v>
      </c>
      <c r="J14" s="31" t="s">
        <v>200</v>
      </c>
      <c r="K14" s="12" t="s">
        <v>244</v>
      </c>
      <c r="S14" s="32"/>
      <c r="T14" s="32"/>
      <c r="U14" s="32"/>
      <c r="V14" s="32"/>
    </row>
    <row r="15" spans="1:22" ht="15" customHeight="1" x14ac:dyDescent="0.45">
      <c r="A15" s="27" t="s">
        <v>245</v>
      </c>
      <c r="B15" s="6" t="s">
        <v>246</v>
      </c>
      <c r="C15" s="28" t="s">
        <v>242</v>
      </c>
      <c r="D15" s="28" t="s">
        <v>188</v>
      </c>
      <c r="E15" s="28">
        <v>6.5</v>
      </c>
      <c r="F15" s="28">
        <v>10</v>
      </c>
      <c r="G15" s="29" t="s">
        <v>243</v>
      </c>
      <c r="H15" s="28" t="s">
        <v>190</v>
      </c>
      <c r="I15" s="28" t="s">
        <v>191</v>
      </c>
      <c r="J15" s="29" t="s">
        <v>200</v>
      </c>
      <c r="K15" s="9" t="s">
        <v>247</v>
      </c>
      <c r="S15" s="32"/>
      <c r="T15" s="32"/>
      <c r="U15" s="32"/>
      <c r="V15" s="32"/>
    </row>
    <row r="16" spans="1:22" ht="15" customHeight="1" x14ac:dyDescent="0.45">
      <c r="A16" s="30" t="s">
        <v>248</v>
      </c>
      <c r="B16" s="11" t="s">
        <v>249</v>
      </c>
      <c r="C16" s="28" t="s">
        <v>188</v>
      </c>
      <c r="D16" s="28" t="s">
        <v>227</v>
      </c>
      <c r="E16" s="28">
        <v>7</v>
      </c>
      <c r="F16" s="28">
        <v>0</v>
      </c>
      <c r="G16" s="31" t="s">
        <v>243</v>
      </c>
      <c r="H16" s="28" t="s">
        <v>190</v>
      </c>
      <c r="I16" s="28" t="s">
        <v>191</v>
      </c>
      <c r="J16" s="31" t="s">
        <v>200</v>
      </c>
      <c r="K16" s="12" t="s">
        <v>250</v>
      </c>
      <c r="S16" s="32"/>
      <c r="T16" s="32"/>
      <c r="U16" s="32"/>
      <c r="V16" s="32"/>
    </row>
    <row r="17" spans="1:22" ht="15" customHeight="1" x14ac:dyDescent="0.45">
      <c r="A17" s="27" t="s">
        <v>251</v>
      </c>
      <c r="B17" s="6" t="s">
        <v>252</v>
      </c>
      <c r="C17" s="28" t="s">
        <v>188</v>
      </c>
      <c r="D17" s="28" t="s">
        <v>227</v>
      </c>
      <c r="E17" s="28">
        <v>7</v>
      </c>
      <c r="F17" s="28">
        <v>0</v>
      </c>
      <c r="G17" s="29" t="s">
        <v>222</v>
      </c>
      <c r="H17" s="28" t="s">
        <v>190</v>
      </c>
      <c r="I17" s="28" t="s">
        <v>191</v>
      </c>
      <c r="J17" s="29" t="s">
        <v>200</v>
      </c>
      <c r="K17" s="9" t="s">
        <v>253</v>
      </c>
      <c r="S17" s="32"/>
      <c r="T17" s="32"/>
      <c r="U17" s="32"/>
      <c r="V17" s="32"/>
    </row>
    <row r="18" spans="1:22" ht="21.75" customHeight="1" x14ac:dyDescent="0.45">
      <c r="A18" s="30" t="s">
        <v>254</v>
      </c>
      <c r="B18" s="11" t="s">
        <v>255</v>
      </c>
      <c r="C18" s="28" t="s">
        <v>188</v>
      </c>
      <c r="D18" s="28" t="s">
        <v>227</v>
      </c>
      <c r="E18" s="28">
        <v>8</v>
      </c>
      <c r="F18" s="28">
        <v>0</v>
      </c>
      <c r="G18" s="31" t="s">
        <v>199</v>
      </c>
      <c r="H18" s="28" t="s">
        <v>210</v>
      </c>
      <c r="I18" s="28" t="s">
        <v>256</v>
      </c>
      <c r="J18" s="31" t="s">
        <v>211</v>
      </c>
      <c r="K18" s="12" t="s">
        <v>257</v>
      </c>
      <c r="S18" s="32"/>
      <c r="T18" s="32"/>
      <c r="U18" s="32"/>
      <c r="V18" s="32"/>
    </row>
    <row r="19" spans="1:22" ht="15" customHeight="1" x14ac:dyDescent="0.45">
      <c r="A19" s="27" t="s">
        <v>258</v>
      </c>
      <c r="B19" s="6" t="s">
        <v>259</v>
      </c>
      <c r="C19" s="28" t="s">
        <v>260</v>
      </c>
      <c r="D19" s="28" t="s">
        <v>227</v>
      </c>
      <c r="E19" s="28">
        <v>7</v>
      </c>
      <c r="F19" s="28">
        <v>0</v>
      </c>
      <c r="G19" s="29" t="s">
        <v>199</v>
      </c>
      <c r="H19" s="28" t="s">
        <v>190</v>
      </c>
      <c r="I19" s="28" t="s">
        <v>191</v>
      </c>
      <c r="J19" s="29" t="s">
        <v>200</v>
      </c>
      <c r="K19" s="9" t="s">
        <v>261</v>
      </c>
      <c r="S19" s="33" t="s">
        <v>262</v>
      </c>
    </row>
    <row r="20" spans="1:22" ht="15" customHeight="1" x14ac:dyDescent="0.45">
      <c r="A20" s="30" t="s">
        <v>263</v>
      </c>
      <c r="B20" s="11" t="s">
        <v>264</v>
      </c>
      <c r="C20" s="28" t="s">
        <v>265</v>
      </c>
      <c r="D20" s="28" t="s">
        <v>227</v>
      </c>
      <c r="E20" s="28">
        <v>6</v>
      </c>
      <c r="F20" s="28">
        <v>0</v>
      </c>
      <c r="G20" s="31" t="s">
        <v>237</v>
      </c>
      <c r="H20" s="28" t="s">
        <v>190</v>
      </c>
      <c r="I20" s="28" t="s">
        <v>256</v>
      </c>
      <c r="J20" s="31" t="s">
        <v>211</v>
      </c>
      <c r="K20" s="12" t="s">
        <v>266</v>
      </c>
    </row>
    <row r="21" spans="1:22" ht="15" customHeight="1" x14ac:dyDescent="0.45">
      <c r="A21" s="27" t="s">
        <v>267</v>
      </c>
      <c r="B21" s="6" t="s">
        <v>268</v>
      </c>
      <c r="C21" s="28" t="s">
        <v>188</v>
      </c>
      <c r="D21" s="28" t="s">
        <v>188</v>
      </c>
      <c r="E21" s="28">
        <v>7</v>
      </c>
      <c r="F21" s="28">
        <v>0</v>
      </c>
      <c r="G21" s="29" t="s">
        <v>199</v>
      </c>
      <c r="H21" s="28" t="s">
        <v>210</v>
      </c>
      <c r="I21" s="28" t="s">
        <v>191</v>
      </c>
      <c r="J21" s="29" t="s">
        <v>200</v>
      </c>
      <c r="K21" s="9" t="s">
        <v>269</v>
      </c>
    </row>
    <row r="22" spans="1:22" ht="15" customHeight="1" x14ac:dyDescent="0.45">
      <c r="A22" s="30" t="s">
        <v>270</v>
      </c>
      <c r="B22" s="11" t="s">
        <v>271</v>
      </c>
      <c r="C22" s="28" t="s">
        <v>188</v>
      </c>
      <c r="D22" s="28" t="s">
        <v>188</v>
      </c>
      <c r="E22" s="28">
        <v>8</v>
      </c>
      <c r="F22" s="28">
        <v>10</v>
      </c>
      <c r="G22" s="31" t="s">
        <v>199</v>
      </c>
      <c r="H22" s="28" t="s">
        <v>210</v>
      </c>
      <c r="I22" s="28" t="s">
        <v>256</v>
      </c>
      <c r="J22" s="31" t="s">
        <v>200</v>
      </c>
      <c r="K22" s="12" t="s">
        <v>272</v>
      </c>
    </row>
    <row r="23" spans="1:22" ht="15" customHeight="1" x14ac:dyDescent="0.45">
      <c r="A23" s="27" t="s">
        <v>273</v>
      </c>
      <c r="B23" s="6" t="s">
        <v>274</v>
      </c>
      <c r="C23" s="28" t="s">
        <v>188</v>
      </c>
      <c r="D23" s="28" t="s">
        <v>188</v>
      </c>
      <c r="E23" s="28">
        <v>7</v>
      </c>
      <c r="F23" s="28">
        <v>10</v>
      </c>
      <c r="G23" s="29" t="s">
        <v>243</v>
      </c>
      <c r="H23" s="28" t="s">
        <v>190</v>
      </c>
      <c r="I23" s="28" t="s">
        <v>191</v>
      </c>
      <c r="J23" s="29" t="s">
        <v>200</v>
      </c>
      <c r="K23" s="9" t="s">
        <v>275</v>
      </c>
    </row>
    <row r="24" spans="1:22" ht="21.75" customHeight="1" x14ac:dyDescent="0.45">
      <c r="A24" s="30" t="s">
        <v>276</v>
      </c>
      <c r="B24" s="11" t="s">
        <v>277</v>
      </c>
      <c r="C24" s="28" t="s">
        <v>188</v>
      </c>
      <c r="D24" s="28" t="s">
        <v>188</v>
      </c>
      <c r="E24" s="28">
        <v>7</v>
      </c>
      <c r="F24" s="28">
        <v>10</v>
      </c>
      <c r="G24" s="31" t="s">
        <v>243</v>
      </c>
      <c r="H24" s="28" t="s">
        <v>190</v>
      </c>
      <c r="I24" s="28" t="s">
        <v>191</v>
      </c>
      <c r="J24" s="31" t="s">
        <v>200</v>
      </c>
      <c r="K24" s="12" t="s">
        <v>278</v>
      </c>
    </row>
    <row r="27" spans="1:22" ht="15" customHeight="1" x14ac:dyDescent="0.45">
      <c r="A27" s="107" t="s">
        <v>279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1:22" ht="27.75" customHeight="1" x14ac:dyDescent="0.45">
      <c r="A28" s="34" t="s">
        <v>280</v>
      </c>
      <c r="B28" s="34" t="s">
        <v>281</v>
      </c>
      <c r="C28" s="34" t="s">
        <v>282</v>
      </c>
      <c r="D28" s="34" t="s">
        <v>283</v>
      </c>
      <c r="E28" s="34" t="s">
        <v>284</v>
      </c>
      <c r="F28" s="34" t="s">
        <v>285</v>
      </c>
      <c r="G28" s="34" t="s">
        <v>286</v>
      </c>
      <c r="H28" s="34" t="s">
        <v>287</v>
      </c>
      <c r="I28" s="34" t="s">
        <v>288</v>
      </c>
      <c r="J28" s="34" t="s">
        <v>289</v>
      </c>
      <c r="K28" s="34" t="s">
        <v>105</v>
      </c>
    </row>
    <row r="29" spans="1:22" ht="39.75" customHeight="1" x14ac:dyDescent="0.45">
      <c r="A29" s="35" t="s">
        <v>200</v>
      </c>
      <c r="B29" s="36" t="s">
        <v>290</v>
      </c>
      <c r="C29" s="6" t="s">
        <v>291</v>
      </c>
      <c r="D29" s="6" t="s">
        <v>292</v>
      </c>
      <c r="E29" s="28">
        <v>30</v>
      </c>
      <c r="F29" s="28">
        <v>60</v>
      </c>
      <c r="G29" s="28">
        <v>35</v>
      </c>
      <c r="H29" s="28">
        <v>75</v>
      </c>
      <c r="I29" s="37">
        <v>10</v>
      </c>
      <c r="J29" s="9" t="s">
        <v>293</v>
      </c>
      <c r="K29" s="9" t="s">
        <v>294</v>
      </c>
    </row>
    <row r="30" spans="1:22" ht="15" customHeight="1" x14ac:dyDescent="0.45">
      <c r="A30" s="38" t="s">
        <v>228</v>
      </c>
      <c r="B30" s="39" t="s">
        <v>295</v>
      </c>
      <c r="C30" s="11" t="s">
        <v>296</v>
      </c>
      <c r="D30" s="11" t="s">
        <v>292</v>
      </c>
      <c r="E30" s="28">
        <v>30</v>
      </c>
      <c r="F30" s="28">
        <v>60</v>
      </c>
      <c r="G30" s="28">
        <v>35</v>
      </c>
      <c r="H30" s="28">
        <v>75</v>
      </c>
      <c r="I30" s="40">
        <v>0</v>
      </c>
      <c r="J30" s="12" t="s">
        <v>297</v>
      </c>
      <c r="K30" s="12" t="s">
        <v>298</v>
      </c>
    </row>
    <row r="31" spans="1:22" ht="15" customHeight="1" x14ac:dyDescent="0.45">
      <c r="A31" s="35" t="s">
        <v>217</v>
      </c>
      <c r="B31" s="36" t="s">
        <v>299</v>
      </c>
      <c r="C31" s="6" t="s">
        <v>296</v>
      </c>
      <c r="D31" s="6" t="s">
        <v>292</v>
      </c>
      <c r="E31" s="28">
        <v>55</v>
      </c>
      <c r="F31" s="28">
        <v>75</v>
      </c>
      <c r="G31" s="28">
        <v>55</v>
      </c>
      <c r="H31" s="28">
        <v>75</v>
      </c>
      <c r="I31" s="41">
        <v>0</v>
      </c>
      <c r="J31" s="9" t="s">
        <v>300</v>
      </c>
      <c r="K31" s="9" t="s">
        <v>301</v>
      </c>
    </row>
    <row r="32" spans="1:22" ht="15" customHeight="1" x14ac:dyDescent="0.45">
      <c r="A32" s="38" t="s">
        <v>302</v>
      </c>
      <c r="B32" s="39" t="s">
        <v>303</v>
      </c>
      <c r="C32" s="11" t="s">
        <v>304</v>
      </c>
      <c r="D32" s="11" t="s">
        <v>292</v>
      </c>
      <c r="E32" s="28">
        <v>15</v>
      </c>
      <c r="F32" s="28">
        <v>60</v>
      </c>
      <c r="G32" s="28">
        <v>15</v>
      </c>
      <c r="H32" s="28">
        <v>60</v>
      </c>
      <c r="I32" s="40">
        <v>0</v>
      </c>
      <c r="J32" s="12" t="s">
        <v>305</v>
      </c>
      <c r="K32" s="12" t="s">
        <v>306</v>
      </c>
    </row>
    <row r="33" spans="1:11" ht="15" customHeight="1" x14ac:dyDescent="0.45">
      <c r="A33" s="35" t="s">
        <v>211</v>
      </c>
      <c r="B33" s="36" t="s">
        <v>307</v>
      </c>
      <c r="C33" s="6" t="s">
        <v>308</v>
      </c>
      <c r="D33" s="6" t="s">
        <v>292</v>
      </c>
      <c r="E33" s="28">
        <v>30</v>
      </c>
      <c r="F33" s="28">
        <v>45</v>
      </c>
      <c r="G33" s="28">
        <v>35</v>
      </c>
      <c r="H33" s="28">
        <v>50</v>
      </c>
      <c r="I33" s="41">
        <v>0</v>
      </c>
      <c r="J33" s="9" t="s">
        <v>309</v>
      </c>
      <c r="K33" s="9" t="s">
        <v>310</v>
      </c>
    </row>
    <row r="34" spans="1:11" ht="21.75" customHeight="1" x14ac:dyDescent="0.45">
      <c r="A34" s="38" t="s">
        <v>192</v>
      </c>
      <c r="B34" s="39" t="s">
        <v>311</v>
      </c>
      <c r="C34" s="11" t="s">
        <v>308</v>
      </c>
      <c r="D34" s="11" t="s">
        <v>292</v>
      </c>
      <c r="E34" s="28">
        <v>44</v>
      </c>
      <c r="F34" s="28">
        <v>60</v>
      </c>
      <c r="G34" s="28">
        <v>60</v>
      </c>
      <c r="H34" s="28">
        <v>85</v>
      </c>
      <c r="I34" s="40">
        <v>0</v>
      </c>
      <c r="J34" s="12" t="s">
        <v>312</v>
      </c>
      <c r="K34" s="12" t="s">
        <v>313</v>
      </c>
    </row>
    <row r="35" spans="1:11" ht="21.75" customHeight="1" x14ac:dyDescent="0.45">
      <c r="A35" s="38" t="s">
        <v>314</v>
      </c>
      <c r="B35" s="39" t="s">
        <v>315</v>
      </c>
      <c r="C35" s="11" t="s">
        <v>316</v>
      </c>
      <c r="D35" s="11" t="s">
        <v>317</v>
      </c>
      <c r="E35" s="28">
        <v>0</v>
      </c>
      <c r="F35" s="28">
        <v>0</v>
      </c>
      <c r="G35" s="28">
        <v>0</v>
      </c>
      <c r="H35" s="28">
        <v>0</v>
      </c>
      <c r="I35" s="40">
        <v>0</v>
      </c>
      <c r="J35" s="12" t="s">
        <v>318</v>
      </c>
      <c r="K35" s="12" t="s">
        <v>319</v>
      </c>
    </row>
    <row r="36" spans="1:11" ht="21.75" customHeight="1" x14ac:dyDescent="0.45">
      <c r="A36" s="35" t="s">
        <v>320</v>
      </c>
      <c r="B36" s="36" t="s">
        <v>321</v>
      </c>
      <c r="C36" s="6" t="s">
        <v>316</v>
      </c>
      <c r="D36" s="6" t="s">
        <v>317</v>
      </c>
      <c r="E36" s="28">
        <v>10</v>
      </c>
      <c r="F36" s="28">
        <v>10</v>
      </c>
      <c r="G36" s="28">
        <v>10</v>
      </c>
      <c r="H36" s="28">
        <v>10</v>
      </c>
      <c r="I36" s="41">
        <v>0</v>
      </c>
      <c r="J36" s="9" t="s">
        <v>322</v>
      </c>
      <c r="K36" s="9" t="s">
        <v>323</v>
      </c>
    </row>
    <row r="37" spans="1:11" ht="23.25" x14ac:dyDescent="0.45">
      <c r="A37" s="38" t="s">
        <v>324</v>
      </c>
      <c r="B37" s="39" t="s">
        <v>325</v>
      </c>
      <c r="C37" s="11" t="s">
        <v>326</v>
      </c>
      <c r="D37" s="11" t="s">
        <v>326</v>
      </c>
      <c r="E37" s="19" t="s">
        <v>195</v>
      </c>
      <c r="F37" s="19" t="s">
        <v>195</v>
      </c>
      <c r="G37" s="19" t="s">
        <v>195</v>
      </c>
      <c r="H37" s="19" t="s">
        <v>195</v>
      </c>
      <c r="I37" s="40">
        <v>0</v>
      </c>
      <c r="J37" s="12" t="s">
        <v>327</v>
      </c>
      <c r="K37" s="12" t="s">
        <v>328</v>
      </c>
    </row>
  </sheetData>
  <mergeCells count="6">
    <mergeCell ref="T2:V2"/>
    <mergeCell ref="A2:K2"/>
    <mergeCell ref="A1:K1"/>
    <mergeCell ref="M1:Q1"/>
    <mergeCell ref="A27:K27"/>
    <mergeCell ref="M7:Q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BT50"/>
  <sheetViews>
    <sheetView showGridLines="0" zoomScaleNormal="100" workbookViewId="0">
      <pane xSplit="5" ySplit="6" topLeftCell="Z7" activePane="bottomRight" state="frozen"/>
      <selection pane="topRight" activeCell="BE1" sqref="BE1"/>
      <selection pane="bottomLeft" activeCell="A7" sqref="A7"/>
      <selection pane="bottomRight" activeCell="Z6" sqref="Z6"/>
    </sheetView>
  </sheetViews>
  <sheetFormatPr defaultColWidth="8.6640625" defaultRowHeight="14.25" outlineLevelCol="1" x14ac:dyDescent="0.45"/>
  <cols>
    <col min="1" max="1" width="9.86328125" customWidth="1"/>
    <col min="2" max="2" width="8" customWidth="1"/>
    <col min="3" max="3" width="11" customWidth="1"/>
    <col min="4" max="4" width="30" customWidth="1"/>
    <col min="5" max="5" width="12" customWidth="1"/>
    <col min="6" max="8" width="7" customWidth="1"/>
    <col min="9" max="9" width="8" customWidth="1"/>
    <col min="10" max="10" width="5" customWidth="1"/>
    <col min="11" max="11" width="4" customWidth="1"/>
    <col min="12" max="15" width="7" customWidth="1"/>
    <col min="16" max="18" width="8" customWidth="1"/>
    <col min="19" max="22" width="7" customWidth="1"/>
    <col min="23" max="23" width="8" customWidth="1"/>
    <col min="24" max="24" width="7" customWidth="1"/>
    <col min="25" max="25" width="8.46484375" customWidth="1"/>
    <col min="26" max="27" width="7" customWidth="1"/>
    <col min="28" max="29" width="6" customWidth="1"/>
    <col min="30" max="39" width="7" customWidth="1"/>
    <col min="40" max="44" width="9" customWidth="1"/>
    <col min="45" max="49" width="8" customWidth="1"/>
    <col min="50" max="51" width="9" customWidth="1"/>
    <col min="52" max="52" width="10" customWidth="1"/>
    <col min="53" max="55" width="9" customWidth="1"/>
    <col min="56" max="61" width="9" hidden="1" customWidth="1" outlineLevel="1"/>
    <col min="62" max="62" width="9" customWidth="1" collapsed="1"/>
    <col min="63" max="63" width="9" customWidth="1"/>
    <col min="64" max="64" width="11" customWidth="1"/>
    <col min="65" max="65" width="7" customWidth="1"/>
    <col min="66" max="66" width="9" customWidth="1"/>
    <col min="67" max="67" width="12" customWidth="1"/>
    <col min="68" max="69" width="8" customWidth="1"/>
    <col min="72" max="72" width="10.53125" customWidth="1"/>
  </cols>
  <sheetData>
    <row r="1" spans="1:72" ht="15.75" customHeight="1" x14ac:dyDescent="0.45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</row>
    <row r="2" spans="1:72" ht="24" customHeight="1" x14ac:dyDescent="0.45">
      <c r="A2" s="71" t="s">
        <v>1</v>
      </c>
      <c r="B2" s="28"/>
      <c r="C2" s="3" t="s">
        <v>2</v>
      </c>
      <c r="D2" s="72"/>
    </row>
    <row r="3" spans="1:72" ht="24" customHeight="1" x14ac:dyDescent="0.45">
      <c r="A3" s="71" t="s">
        <v>3</v>
      </c>
      <c r="B3" s="28"/>
      <c r="C3" s="3" t="s">
        <v>4</v>
      </c>
      <c r="D3" s="73"/>
      <c r="AW3" s="42"/>
      <c r="AY3" s="85">
        <v>3.5000000000000003E-2</v>
      </c>
      <c r="AZ3" s="43" t="s">
        <v>5</v>
      </c>
      <c r="BA3" s="7">
        <v>6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44">
        <v>1.4999999999999999E-2</v>
      </c>
      <c r="BK3" s="7" t="e">
        <f>VLOOKUP(B2,DEFAULTS!$S$3:$V$20,IFERROR(MATCH($B$3,DEFAULTS!$T$3:$V$3,0)+1,2),0)</f>
        <v>#N/A</v>
      </c>
      <c r="BL3" s="80" t="s">
        <v>6</v>
      </c>
      <c r="BM3" s="45">
        <v>0.02</v>
      </c>
    </row>
    <row r="4" spans="1:72" ht="20.25" customHeight="1" x14ac:dyDescent="0.45">
      <c r="A4" s="3" t="s">
        <v>7</v>
      </c>
      <c r="B4" s="74"/>
      <c r="C4" s="71" t="s">
        <v>8</v>
      </c>
      <c r="D4" s="28"/>
      <c r="U4" s="78" t="s">
        <v>9</v>
      </c>
      <c r="V4" s="79">
        <v>0.1</v>
      </c>
      <c r="AW4" s="42"/>
      <c r="AY4" s="85">
        <v>3.5000000000000003E-2</v>
      </c>
      <c r="AZ4" s="46" t="s">
        <v>10</v>
      </c>
      <c r="BA4" s="47">
        <v>0</v>
      </c>
      <c r="BB4" s="47">
        <v>0</v>
      </c>
      <c r="BC4" s="47">
        <v>0</v>
      </c>
      <c r="BD4" s="47">
        <v>0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8">
        <v>1.4999999999999999E-2</v>
      </c>
      <c r="BK4" s="47"/>
      <c r="BL4" t="s">
        <v>11</v>
      </c>
      <c r="BM4" s="45">
        <v>0.02</v>
      </c>
    </row>
    <row r="5" spans="1:72" ht="36" customHeight="1" x14ac:dyDescent="0.45">
      <c r="A5" s="93" t="s">
        <v>12</v>
      </c>
      <c r="B5" s="91"/>
      <c r="C5" s="91"/>
      <c r="D5" s="91"/>
      <c r="E5" s="91"/>
      <c r="F5" s="93" t="s">
        <v>13</v>
      </c>
      <c r="G5" s="91"/>
      <c r="H5" s="91"/>
      <c r="I5" s="94" t="s">
        <v>14</v>
      </c>
      <c r="J5" s="91"/>
      <c r="K5" s="91"/>
      <c r="L5" s="94" t="s">
        <v>15</v>
      </c>
      <c r="M5" s="91"/>
      <c r="N5" s="91"/>
      <c r="O5" s="91"/>
      <c r="P5" s="94" t="s">
        <v>16</v>
      </c>
      <c r="Q5" s="91"/>
      <c r="R5" s="91"/>
      <c r="S5" s="95" t="s">
        <v>17</v>
      </c>
      <c r="T5" s="98"/>
      <c r="U5" s="98"/>
      <c r="V5" s="98"/>
      <c r="W5" s="98"/>
      <c r="X5" s="98"/>
      <c r="Y5" s="98"/>
      <c r="Z5" s="98"/>
      <c r="AA5" s="99"/>
      <c r="AB5" s="97" t="s">
        <v>18</v>
      </c>
      <c r="AC5" s="91"/>
      <c r="AD5" s="97" t="s">
        <v>19</v>
      </c>
      <c r="AE5" s="91"/>
      <c r="AF5" s="91"/>
      <c r="AG5" s="91"/>
      <c r="AH5" s="91"/>
      <c r="AI5" s="91"/>
      <c r="AJ5" s="91"/>
      <c r="AK5" s="91"/>
      <c r="AL5" s="91"/>
      <c r="AM5" s="91"/>
      <c r="AN5" s="95" t="s">
        <v>20</v>
      </c>
      <c r="AO5" s="91"/>
      <c r="AP5" s="91"/>
      <c r="AQ5" s="91"/>
      <c r="AR5" s="91"/>
      <c r="AS5" s="94" t="s">
        <v>21</v>
      </c>
      <c r="AT5" s="91"/>
      <c r="AU5" s="91"/>
      <c r="AV5" s="91"/>
      <c r="AW5" s="91"/>
      <c r="AX5" s="91"/>
      <c r="AY5" s="2"/>
      <c r="AZ5" s="90" t="s">
        <v>22</v>
      </c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2"/>
      <c r="BL5" s="43" t="s">
        <v>23</v>
      </c>
      <c r="BM5" s="96" t="s">
        <v>24</v>
      </c>
      <c r="BN5" s="91"/>
      <c r="BO5" s="43" t="s">
        <v>25</v>
      </c>
      <c r="BP5" s="43" t="s">
        <v>26</v>
      </c>
      <c r="BQ5" s="49" t="s">
        <v>27</v>
      </c>
    </row>
    <row r="6" spans="1:72" ht="36" customHeight="1" x14ac:dyDescent="0.45">
      <c r="A6" s="50" t="s">
        <v>28</v>
      </c>
      <c r="B6" s="50" t="s">
        <v>29</v>
      </c>
      <c r="C6" s="50" t="s">
        <v>30</v>
      </c>
      <c r="D6" s="50" t="s">
        <v>31</v>
      </c>
      <c r="E6" s="50" t="s">
        <v>32</v>
      </c>
      <c r="F6" s="50" t="s">
        <v>33</v>
      </c>
      <c r="G6" s="50" t="s">
        <v>34</v>
      </c>
      <c r="H6" s="50" t="s">
        <v>35</v>
      </c>
      <c r="I6" s="34" t="s">
        <v>36</v>
      </c>
      <c r="J6" s="34" t="s">
        <v>37</v>
      </c>
      <c r="K6" s="34" t="s">
        <v>38</v>
      </c>
      <c r="L6" s="34" t="s">
        <v>39</v>
      </c>
      <c r="M6" s="34" t="s">
        <v>40</v>
      </c>
      <c r="N6" s="34" t="s">
        <v>41</v>
      </c>
      <c r="O6" s="34" t="s">
        <v>42</v>
      </c>
      <c r="P6" s="34" t="s">
        <v>43</v>
      </c>
      <c r="Q6" s="34" t="s">
        <v>44</v>
      </c>
      <c r="R6" s="34" t="s">
        <v>45</v>
      </c>
      <c r="S6" s="51" t="s">
        <v>351</v>
      </c>
      <c r="T6" s="51" t="s">
        <v>352</v>
      </c>
      <c r="U6" s="51" t="s">
        <v>46</v>
      </c>
      <c r="V6" s="51" t="s">
        <v>47</v>
      </c>
      <c r="W6" s="51" t="s">
        <v>48</v>
      </c>
      <c r="X6" s="51" t="s">
        <v>49</v>
      </c>
      <c r="Y6" s="51" t="s">
        <v>344</v>
      </c>
      <c r="Z6" s="86" t="s">
        <v>345</v>
      </c>
      <c r="AA6" s="86" t="s">
        <v>346</v>
      </c>
      <c r="AB6" s="22" t="s">
        <v>50</v>
      </c>
      <c r="AC6" s="22" t="s">
        <v>51</v>
      </c>
      <c r="AD6" s="22" t="s">
        <v>52</v>
      </c>
      <c r="AE6" s="22" t="s">
        <v>53</v>
      </c>
      <c r="AF6" s="22" t="s">
        <v>54</v>
      </c>
      <c r="AG6" s="22" t="s">
        <v>55</v>
      </c>
      <c r="AH6" s="22" t="s">
        <v>56</v>
      </c>
      <c r="AI6" s="22" t="s">
        <v>57</v>
      </c>
      <c r="AJ6" s="22" t="s">
        <v>58</v>
      </c>
      <c r="AK6" s="22" t="s">
        <v>59</v>
      </c>
      <c r="AL6" s="22" t="s">
        <v>60</v>
      </c>
      <c r="AM6" s="22" t="s">
        <v>61</v>
      </c>
      <c r="AN6" s="51" t="s">
        <v>62</v>
      </c>
      <c r="AO6" s="51" t="s">
        <v>63</v>
      </c>
      <c r="AP6" s="51" t="s">
        <v>64</v>
      </c>
      <c r="AQ6" s="51" t="s">
        <v>65</v>
      </c>
      <c r="AR6" s="51" t="s">
        <v>66</v>
      </c>
      <c r="AS6" s="34" t="s">
        <v>67</v>
      </c>
      <c r="AT6" s="34" t="s">
        <v>68</v>
      </c>
      <c r="AU6" s="34" t="s">
        <v>69</v>
      </c>
      <c r="AV6" s="34" t="s">
        <v>70</v>
      </c>
      <c r="AW6" s="34" t="s">
        <v>71</v>
      </c>
      <c r="AX6" s="75" t="s">
        <v>72</v>
      </c>
      <c r="AY6" s="75" t="s">
        <v>73</v>
      </c>
      <c r="AZ6" s="1" t="s">
        <v>74</v>
      </c>
      <c r="BA6" s="1" t="s">
        <v>75</v>
      </c>
      <c r="BB6" s="1" t="s">
        <v>76</v>
      </c>
      <c r="BC6" s="1" t="s">
        <v>77</v>
      </c>
      <c r="BD6" s="1" t="s">
        <v>78</v>
      </c>
      <c r="BE6" s="1" t="s">
        <v>79</v>
      </c>
      <c r="BF6" s="1" t="s">
        <v>80</v>
      </c>
      <c r="BG6" s="1" t="s">
        <v>81</v>
      </c>
      <c r="BH6" s="1" t="s">
        <v>82</v>
      </c>
      <c r="BI6" s="1" t="s">
        <v>83</v>
      </c>
      <c r="BJ6" s="1" t="s">
        <v>84</v>
      </c>
      <c r="BK6" s="1" t="s">
        <v>85</v>
      </c>
      <c r="BL6" s="1" t="s">
        <v>86</v>
      </c>
      <c r="BM6" s="1" t="s">
        <v>87</v>
      </c>
      <c r="BN6" s="1" t="s">
        <v>88</v>
      </c>
      <c r="BO6" s="1" t="s">
        <v>89</v>
      </c>
      <c r="BP6" s="1" t="s">
        <v>90</v>
      </c>
      <c r="BQ6" s="52" t="s">
        <v>27</v>
      </c>
      <c r="BR6" s="52" t="s">
        <v>91</v>
      </c>
      <c r="BS6" s="52" t="s">
        <v>92</v>
      </c>
      <c r="BT6" s="52" t="s">
        <v>93</v>
      </c>
    </row>
    <row r="7" spans="1:72" x14ac:dyDescent="0.45">
      <c r="A7" s="53">
        <f>IF(B7="","",IF(B7="Box",COUNTIF($B$7:B7,"Box"),TEXT(COUNTIF($B$7:B7,"Box"),"0")&amp;IF(B7="Plate","a",IF(B7="Part-L","b",IF(B7="Part-W","c","")))))</f>
        <v>1</v>
      </c>
      <c r="B7" s="28" t="s">
        <v>94</v>
      </c>
      <c r="C7" s="28"/>
      <c r="D7" s="54"/>
      <c r="E7" s="54"/>
      <c r="F7" s="55"/>
      <c r="G7" s="55"/>
      <c r="H7" s="28"/>
      <c r="I7" s="28"/>
      <c r="J7" s="28"/>
      <c r="K7" s="28"/>
      <c r="L7" s="56" t="str">
        <f>IFERROR(INDEX(DEFAULTS!$E:$E,MATCH(I7,DEFAULTS!$A:$A,0)),"")</f>
        <v/>
      </c>
      <c r="M7" s="56" t="str">
        <f>IFERROR(INDEX(DEFAULTS!$F:$F,MATCH(I7,DEFAULTS!$A:$A,0)),"")</f>
        <v/>
      </c>
      <c r="N7" s="56" t="str">
        <f>IFERROR(INDEX(DEFAULTS!$G:$G,MATCH(I7,DEFAULTS!$A:$A,0)),"")</f>
        <v/>
      </c>
      <c r="O7" s="56" t="str">
        <f>IFERROR(INDEX(DEFAULTS!$H:$H,MATCH(I7,DEFAULTS!$A:$A,0)),"")</f>
        <v/>
      </c>
      <c r="P7" s="57" t="str">
        <f t="shared" ref="P7:P50" si="0">IFERROR(IF(OR(I7="Board",I7="PP"),F7*K7+IF(J7=5,N7,L7),IF(I7="HRSC-L",(G7/2+H7)*K7+IF(J7=5,N7,L7),IF(I7="HRSC-R",(G7/2+H7)*K7+IF(J7=5,N7,L7),IF(I7="HRSC-O",H7*K7+IF(J7=5,N7,L7),(G7+H7)*K7+IF(J7=5,N7,L7))))),"")</f>
        <v/>
      </c>
      <c r="Q7" s="57" t="str">
        <f t="shared" ref="Q7:Q50" si="1">IFERROR(IF(OR(I7="Board",I7="PP"),G7+IF(J7=5,O7,M7),(F7+G7)*2+IF(J7=5,O7,M7)),"")</f>
        <v/>
      </c>
      <c r="R7" s="58" t="str">
        <f t="shared" ref="R7:R50" si="2">IFERROR(P7*Q7/1000000/K7,"")</f>
        <v/>
      </c>
      <c r="S7" s="28"/>
      <c r="T7" s="57">
        <f>IFERROR(AE7+AG7*IF(AB7="",1,IFERROR(VLOOKUP(AB7,DEFAULTS!$M$3:$Q$6,IFERROR(MATCH($B$3,DEFAULTS!$N$2:$Q$2,0)+1,2),0),1))+AI7+AK7*IF(AC7="",1,IFERROR(VLOOKUP(AC7,DEFAULTS!$M$3:$Q$6,IFERROR(MATCH($B$3,DEFAULTS!$N$2:$Q$2,0)+1,2),0),1))+AM7,"")</f>
        <v>0</v>
      </c>
      <c r="U7" s="28"/>
      <c r="V7" s="59">
        <f t="shared" ref="V7:V50" si="3">IFERROR(IF(IFERROR(VALUE(LEFT(AD7,2)),0)=35,33,IFERROR(VALUE(LEFT(AD7,2)),0))*AE7/1000+IF(IFERROR(VALUE(LEFT(AF7,2)),0)=35,33,IFERROR(VALUE(LEFT(AF7,2)),0))*AG7*$V$4/1000+IF(IFERROR(VALUE(LEFT(AH7,2)),0)=35,33,IFERROR(VALUE(LEFT(AH7,2)),0))*AI7/1000+IF(IFERROR(VALUE(LEFT(AJ7,2)),0)=35,33,IFERROR(VALUE(LEFT(AJ7,2)),0))*AK7*$V$4/1000+IF(IFERROR(VALUE(LEFT(AL7,2)),0)=35,33,IFERROR(VALUE(LEFT(AL7,2)),0))*AM7/1000,"")</f>
        <v>0</v>
      </c>
      <c r="W7" s="28"/>
      <c r="X7" s="28"/>
      <c r="Y7" s="28"/>
      <c r="Z7" s="28"/>
      <c r="AA7" s="57">
        <f>IFERROR(AY7*0.98*1000,0)</f>
        <v>0</v>
      </c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60" t="str">
        <f>IFERROR(VLOOKUP(AD7,'RATE MASTER'!$A:$G,7,0)+IFERROR(VLOOKUP(AE7,'RATE MASTER'!$K$7:$M$10,3,1),0),"")</f>
        <v/>
      </c>
      <c r="AO7" s="60" t="str">
        <f>IFERROR(VLOOKUP(AF7,'RATE MASTER'!$A:$G,7,0)+IFERROR(VLOOKUP(AG7,'RATE MASTER'!$K$7:$M$10,3,1),0),"")</f>
        <v/>
      </c>
      <c r="AP7" s="60" t="str">
        <f>IFERROR(VLOOKUP(AH7,'RATE MASTER'!$A:$G,7,0)+IFERROR(VLOOKUP(AI7,'RATE MASTER'!$K$7:$M$10,3,1),0),"")</f>
        <v/>
      </c>
      <c r="AQ7" s="60" t="str">
        <f>IFERROR(VLOOKUP(AJ7,'RATE MASTER'!$A:$G,7,0)+IFERROR(VLOOKUP(AK7,'RATE MASTER'!$K$7:$M$10,3,1),0),"")</f>
        <v/>
      </c>
      <c r="AR7" s="60" t="str">
        <f>IFERROR(VLOOKUP(AL7,'RATE MASTER'!$A:$G,7,0)+IFERROR(VLOOKUP(AM7,'RATE MASTER'!$K$7:$M$10,3,1),0),"")</f>
        <v/>
      </c>
      <c r="AS7" s="61">
        <f>IFERROR((AE7/1000)*R7*1*(1+IF(B7="Box",$AY$3,$AY$4)),0)</f>
        <v>0</v>
      </c>
      <c r="AT7" s="61">
        <f>IFERROR((AG7/1000)*R7*IF(AB7="",1,IFERROR(VLOOKUP(AB7,DEFAULTS!$M$3:$Q$6,IFERROR(MATCH($B$3,DEFAULTS!$N$2:$Q$2,0)+1,2),0),1))*(1+IF(B7="Box",$AY$3,$AY$4)),0)</f>
        <v>0</v>
      </c>
      <c r="AU7" s="61">
        <f>IFERROR((AI7/1000)*R7*1*(1+IF(B7="Box",$AY$3,$AY$4)),0)</f>
        <v>0</v>
      </c>
      <c r="AV7" s="61">
        <f>IFERROR((AK7/1000)*R7*IF(AC7="",1,IFERROR(VLOOKUP(AC7,DEFAULTS!$M$3:$Q$6,IFERROR(MATCH($B$3,DEFAULTS!$N$2:$Q$2,0)+1,2),0),1))*(1+IF(B7="Box",$AY$3,$AY$4)),0)</f>
        <v>0</v>
      </c>
      <c r="AW7" s="61">
        <f>IFERROR((AM7/1000)*R7*1*(1+IF(B7="Box",$AY$3,$AY$4)),0)</f>
        <v>0</v>
      </c>
      <c r="AX7" s="62">
        <f t="shared" ref="AX7:AX50" si="4">IFERROR(SUM(AS7:AW7),0)</f>
        <v>0</v>
      </c>
      <c r="AY7" s="62">
        <f t="shared" ref="AY7:AY50" si="5">IFERROR(AX7/(1+IF(B7="Box",$AY$3,$AY$4)),0)</f>
        <v>0</v>
      </c>
      <c r="AZ7" s="63">
        <f t="shared" ref="AZ7:AZ50" si="6">IFERROR(AS7*AN7+AT7*AO7+AU7*AP7+AV7*AQ7+AW7*AR7,0)</f>
        <v>0</v>
      </c>
      <c r="BA7" s="8">
        <f t="shared" ref="BA7:BA50" si="7">IFERROR(AX7*IF(B7="Box",$BA$3,$BA$4),0)</f>
        <v>0</v>
      </c>
      <c r="BB7" s="8"/>
      <c r="BC7" s="8"/>
      <c r="BD7" s="8"/>
      <c r="BE7" s="8"/>
      <c r="BF7" s="8"/>
      <c r="BG7" s="8"/>
      <c r="BH7" s="8"/>
      <c r="BI7" s="8"/>
      <c r="BJ7" s="8">
        <f t="shared" ref="BJ7:BJ50" si="8">IFERROR(SUM(AZ7:BI7)*$BJ$3,0)</f>
        <v>0</v>
      </c>
      <c r="BK7" s="8">
        <f>IFERROR(AY7*IFERROR(IF($BK$4="",VLOOKUP(E7,DEFAULTS!$S$3:$V$20,IFERROR(MATCH($B$3,DEFAULTS!$T$3:$V$3,0)+1,2),0),$BK$4),0),0)</f>
        <v>0</v>
      </c>
      <c r="BL7" s="63">
        <f t="shared" ref="BL7:BL50" si="9">IFERROR(SUM(AZ7:BK7),0)</f>
        <v>0</v>
      </c>
      <c r="BM7" s="45">
        <f>IFERROR(IF(B7="Box",$BM$3,$BM$4),0)</f>
        <v>0.02</v>
      </c>
      <c r="BN7" s="8">
        <f t="shared" ref="BN7:BN50" si="10">IFERROR(BL7*BM7,0)</f>
        <v>0</v>
      </c>
      <c r="BO7" s="64">
        <f t="shared" ref="BO7:BO50" si="11">IFERROR(MROUND(BL7+BN7,0.05),"")</f>
        <v>0</v>
      </c>
      <c r="BP7" s="8" t="str">
        <f t="shared" ref="BP7:BP50" si="12">IFERROR(BO7/AY7,"")</f>
        <v/>
      </c>
      <c r="BQ7" s="57" t="str">
        <f t="shared" ref="BQ7:BQ50" si="13">IFERROR(ROUND(J7*1100/AX7,-2),"")</f>
        <v/>
      </c>
      <c r="BR7" s="57"/>
      <c r="BS7" s="57">
        <f t="shared" ref="BS7:BS50" si="14">IF(B7="","",1)</f>
        <v>1</v>
      </c>
      <c r="BT7" s="8">
        <f t="shared" ref="BT7:BT50" si="15">IFERROR(MROUND(BO7*BS7,0.05),"")</f>
        <v>0</v>
      </c>
    </row>
    <row r="8" spans="1:72" ht="15" customHeight="1" x14ac:dyDescent="0.45">
      <c r="A8" s="53" t="str">
        <f>IF(B8="","",IF(B8="Box",COUNTIF($B$7:B8,"Box"),TEXT(COUNTIF($B$7:B8,"Box"),"0")&amp;IF(B8="Plate","a",IF(B8="Part-L","b",IF(B8="Part-W","c","")))))</f>
        <v/>
      </c>
      <c r="B8" s="28"/>
      <c r="C8" s="28"/>
      <c r="D8" s="54"/>
      <c r="E8" s="54"/>
      <c r="F8" s="55" t="str">
        <f>IF(OR(B8="",B8="Box"),"",IF(B8="Plate",IFERROR(LOOKUP(2,1/(B$7:B7="Box"),F$7:F7)-5,""),""))</f>
        <v/>
      </c>
      <c r="G8" s="55" t="str">
        <f>IF(OR(B8="",B8="Box"),"",IF(B8="Plate",IFERROR(LOOKUP(2,1/(B$7:B7="Box"),G$7:G7)-5,""),IF(OR(B8="Part-L",B8="Part-W"),IFERROR(LOOKUP(2,1/(B$7:B7="Box"),H$7:H7)-15,""),"")))</f>
        <v/>
      </c>
      <c r="H8" s="28"/>
      <c r="I8" s="28"/>
      <c r="J8" s="28"/>
      <c r="K8" s="28"/>
      <c r="L8" s="56" t="str">
        <f>IFERROR(INDEX(DEFAULTS!$E:$E,MATCH(I8,DEFAULTS!$A:$A,0)),"")</f>
        <v/>
      </c>
      <c r="M8" s="56" t="str">
        <f>IFERROR(INDEX(DEFAULTS!$F:$F,MATCH(I8,DEFAULTS!$A:$A,0)),"")</f>
        <v/>
      </c>
      <c r="N8" s="56" t="str">
        <f>IFERROR(INDEX(DEFAULTS!$G:$G,MATCH(I8,DEFAULTS!$A:$A,0)),"")</f>
        <v/>
      </c>
      <c r="O8" s="56" t="str">
        <f>IFERROR(INDEX(DEFAULTS!$H:$H,MATCH(I8,DEFAULTS!$A:$A,0)),"")</f>
        <v/>
      </c>
      <c r="P8" s="57" t="str">
        <f t="shared" si="0"/>
        <v/>
      </c>
      <c r="Q8" s="57" t="str">
        <f t="shared" si="1"/>
        <v/>
      </c>
      <c r="R8" s="58" t="str">
        <f t="shared" si="2"/>
        <v/>
      </c>
      <c r="S8" s="28"/>
      <c r="T8" s="57">
        <f>IFERROR(AE8+AG8*IF(AB8="",1,IFERROR(VLOOKUP(AB8,DEFAULTS!$M$3:$Q$6,IFERROR(MATCH($B$3,DEFAULTS!$N$2:$Q$2,0)+1,2),0),1))+AI8+AK8*IF(AC8="",1,IFERROR(VLOOKUP(AC8,DEFAULTS!$M$3:$Q$6,IFERROR(MATCH($B$3,DEFAULTS!$N$2:$Q$2,0)+1,2),0),1))+AM8,"")</f>
        <v>0</v>
      </c>
      <c r="U8" s="28"/>
      <c r="V8" s="59">
        <f t="shared" si="3"/>
        <v>0</v>
      </c>
      <c r="W8" s="28"/>
      <c r="X8" s="28"/>
      <c r="Y8" s="28"/>
      <c r="Z8" s="28"/>
      <c r="AA8" s="57">
        <f t="shared" ref="AA8:AA50" si="16">IFERROR(AY8*0.98*1000,0)</f>
        <v>0</v>
      </c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60" t="str">
        <f>IFERROR(VLOOKUP(AD8,'RATE MASTER'!$A:$G,7,0)+IFERROR(VLOOKUP(AE8,'RATE MASTER'!$K$7:$M$10,3,1),0),"")</f>
        <v/>
      </c>
      <c r="AO8" s="60" t="str">
        <f>IFERROR(VLOOKUP(AF8,'RATE MASTER'!$A:$G,7,0)+IFERROR(VLOOKUP(AG8,'RATE MASTER'!$K$7:$M$10,3,1),0),"")</f>
        <v/>
      </c>
      <c r="AP8" s="60" t="str">
        <f>IFERROR(VLOOKUP(AH8,'RATE MASTER'!$A:$G,7,0)+IFERROR(VLOOKUP(AI8,'RATE MASTER'!$K$7:$M$10,3,1),0),"")</f>
        <v/>
      </c>
      <c r="AQ8" s="60" t="str">
        <f>IFERROR(VLOOKUP(AJ8,'RATE MASTER'!$A:$G,7,0)+IFERROR(VLOOKUP(AK8,'RATE MASTER'!$K$7:$M$10,3,1),0),"")</f>
        <v/>
      </c>
      <c r="AR8" s="60" t="str">
        <f>IFERROR(VLOOKUP(AL8,'RATE MASTER'!$A:$G,7,0)+IFERROR(VLOOKUP(AM8,'RATE MASTER'!$K$7:$M$10,3,1),0),"")</f>
        <v/>
      </c>
      <c r="AS8" s="61">
        <f t="shared" ref="AS8:AS50" si="17">IFERROR((AE8/1000)*R8*1*(1+IF(B8="Box",$AY$3,$AY$4)),0)</f>
        <v>0</v>
      </c>
      <c r="AT8" s="61">
        <f>IFERROR((AG8/1000)*R8*IF(AB8="",1,IFERROR(VLOOKUP(AB8,DEFAULTS!$M$3:$Q$6,IFERROR(MATCH($B$3,DEFAULTS!$N$2:$Q$2,0)+1,2),0),1))*(1+IF(B8="Box",$AY$3,$AY$4)),0)</f>
        <v>0</v>
      </c>
      <c r="AU8" s="61">
        <f t="shared" ref="AU8:AU50" si="18">IFERROR((AI8/1000)*R8*1*(1+IF(B8="Box",$AY$3,$AY$4)),0)</f>
        <v>0</v>
      </c>
      <c r="AV8" s="61">
        <f>IFERROR((AK8/1000)*R8*IF(AC8="",1,IFERROR(VLOOKUP(AC8,DEFAULTS!$M$3:$Q$6,IFERROR(MATCH($B$3,DEFAULTS!$N$2:$Q$2,0)+1,2),0),1))*(1+IF(B8="Box",$AY$3,$AY$4)),0)</f>
        <v>0</v>
      </c>
      <c r="AW8" s="61">
        <f t="shared" ref="AW8:AW50" si="19">IFERROR((AM8/1000)*R8*1*(1+IF(B8="Box",$AY$3,$AY$4)),0)</f>
        <v>0</v>
      </c>
      <c r="AX8" s="62">
        <f t="shared" si="4"/>
        <v>0</v>
      </c>
      <c r="AY8" s="62">
        <f t="shared" si="5"/>
        <v>0</v>
      </c>
      <c r="AZ8" s="63">
        <f t="shared" si="6"/>
        <v>0</v>
      </c>
      <c r="BA8" s="8">
        <f t="shared" si="7"/>
        <v>0</v>
      </c>
      <c r="BB8" s="8"/>
      <c r="BC8" s="8"/>
      <c r="BD8" s="8"/>
      <c r="BE8" s="8"/>
      <c r="BF8" s="8"/>
      <c r="BG8" s="8"/>
      <c r="BH8" s="8"/>
      <c r="BI8" s="8"/>
      <c r="BJ8" s="8">
        <f t="shared" si="8"/>
        <v>0</v>
      </c>
      <c r="BK8" s="8">
        <f>IFERROR(AY8*IFERROR(IF($BK$4="",VLOOKUP(E8,DEFAULTS!$S$3:$V$20,IFERROR(MATCH($B$3,DEFAULTS!$T$3:$V$3,0)+1,2),0),$BK$4),0),0)</f>
        <v>0</v>
      </c>
      <c r="BL8" s="63">
        <f t="shared" si="9"/>
        <v>0</v>
      </c>
      <c r="BM8" s="45">
        <f t="shared" ref="BM8:BM50" si="20">IFERROR(IF(B8="Box",$BM$3,$BM$4),0)</f>
        <v>0.02</v>
      </c>
      <c r="BN8" s="8">
        <f t="shared" si="10"/>
        <v>0</v>
      </c>
      <c r="BO8" s="64">
        <f t="shared" si="11"/>
        <v>0</v>
      </c>
      <c r="BP8" s="8" t="str">
        <f t="shared" si="12"/>
        <v/>
      </c>
      <c r="BQ8" s="57" t="str">
        <f t="shared" si="13"/>
        <v/>
      </c>
      <c r="BR8" s="57"/>
      <c r="BS8" s="57" t="str">
        <f t="shared" si="14"/>
        <v/>
      </c>
      <c r="BT8" s="8" t="str">
        <f t="shared" si="15"/>
        <v/>
      </c>
    </row>
    <row r="9" spans="1:72" ht="15" customHeight="1" x14ac:dyDescent="0.45">
      <c r="A9" s="53" t="str">
        <f>IF(B9="","",IF(B9="Box",COUNTIF($B$7:B9,"Box"),TEXT(COUNTIF($B$7:B9,"Box"),"0")&amp;IF(B9="Plate","a",IF(B9="Part-L","b",IF(B9="Part-W","c","")))))</f>
        <v/>
      </c>
      <c r="B9" s="28"/>
      <c r="C9" s="28"/>
      <c r="D9" s="54"/>
      <c r="E9" s="54"/>
      <c r="F9" s="55" t="str">
        <f>IF(OR(B9="",B9="Box"),"",IF(B9="Plate",IFERROR(LOOKUP(2,1/(B$7:B8="Box"),F$7:F8)-5,""),""))</f>
        <v/>
      </c>
      <c r="G9" s="55" t="str">
        <f>IF(OR(B9="",B9="Box"),"",IF(B9="Plate",IFERROR(LOOKUP(2,1/(B$7:B8="Box"),G$7:G8)-5,""),IF(OR(B9="Part-L",B9="Part-W"),IFERROR(LOOKUP(2,1/(B$7:B8="Box"),H$7:H8)-15,""),"")))</f>
        <v/>
      </c>
      <c r="H9" s="28"/>
      <c r="I9" s="28"/>
      <c r="J9" s="28"/>
      <c r="K9" s="28"/>
      <c r="L9" s="56" t="str">
        <f>IFERROR(INDEX(DEFAULTS!$E:$E,MATCH(I9,DEFAULTS!$A:$A,0)),"")</f>
        <v/>
      </c>
      <c r="M9" s="56" t="str">
        <f>IFERROR(INDEX(DEFAULTS!$F:$F,MATCH(I9,DEFAULTS!$A:$A,0)),"")</f>
        <v/>
      </c>
      <c r="N9" s="56" t="str">
        <f>IFERROR(INDEX(DEFAULTS!$G:$G,MATCH(I9,DEFAULTS!$A:$A,0)),"")</f>
        <v/>
      </c>
      <c r="O9" s="56" t="str">
        <f>IFERROR(INDEX(DEFAULTS!$H:$H,MATCH(I9,DEFAULTS!$A:$A,0)),"")</f>
        <v/>
      </c>
      <c r="P9" s="57" t="str">
        <f t="shared" si="0"/>
        <v/>
      </c>
      <c r="Q9" s="57" t="str">
        <f t="shared" si="1"/>
        <v/>
      </c>
      <c r="R9" s="58" t="str">
        <f t="shared" si="2"/>
        <v/>
      </c>
      <c r="S9" s="28"/>
      <c r="T9" s="57">
        <f>IFERROR(AE9+AG9*IF(AB9="",1,IFERROR(VLOOKUP(AB9,DEFAULTS!$M$3:$Q$6,IFERROR(MATCH($B$3,DEFAULTS!$N$2:$Q$2,0)+1,2),0),1))+AI9+AK9*IF(AC9="",1,IFERROR(VLOOKUP(AC9,DEFAULTS!$M$3:$Q$6,IFERROR(MATCH($B$3,DEFAULTS!$N$2:$Q$2,0)+1,2),0),1))+AM9,"")</f>
        <v>0</v>
      </c>
      <c r="U9" s="28"/>
      <c r="V9" s="59">
        <f t="shared" si="3"/>
        <v>0</v>
      </c>
      <c r="W9" s="28"/>
      <c r="X9" s="28"/>
      <c r="Y9" s="28"/>
      <c r="Z9" s="28"/>
      <c r="AA9" s="57">
        <f t="shared" si="16"/>
        <v>0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60" t="str">
        <f>IFERROR(VLOOKUP(AD9,'RATE MASTER'!$A:$G,7,0)+IFERROR(VLOOKUP(AE9,'RATE MASTER'!$K$7:$M$10,3,1),0),"")</f>
        <v/>
      </c>
      <c r="AO9" s="60" t="str">
        <f>IFERROR(VLOOKUP(AF9,'RATE MASTER'!$A:$G,7,0)+IFERROR(VLOOKUP(AG9,'RATE MASTER'!$K$7:$M$10,3,1),0),"")</f>
        <v/>
      </c>
      <c r="AP9" s="60" t="str">
        <f>IFERROR(VLOOKUP(AH9,'RATE MASTER'!$A:$G,7,0)+IFERROR(VLOOKUP(AI9,'RATE MASTER'!$K$7:$M$10,3,1),0),"")</f>
        <v/>
      </c>
      <c r="AQ9" s="60" t="str">
        <f>IFERROR(VLOOKUP(AJ9,'RATE MASTER'!$A:$G,7,0)+IFERROR(VLOOKUP(AK9,'RATE MASTER'!$K$7:$M$10,3,1),0),"")</f>
        <v/>
      </c>
      <c r="AR9" s="60" t="str">
        <f>IFERROR(VLOOKUP(AL9,'RATE MASTER'!$A:$G,7,0)+IFERROR(VLOOKUP(AM9,'RATE MASTER'!$K$7:$M$10,3,1),0),"")</f>
        <v/>
      </c>
      <c r="AS9" s="61">
        <f t="shared" si="17"/>
        <v>0</v>
      </c>
      <c r="AT9" s="61">
        <f>IFERROR((AG9/1000)*R9*IF(AB9="",1,IFERROR(VLOOKUP(AB9,DEFAULTS!$M$3:$Q$6,IFERROR(MATCH($B$3,DEFAULTS!$N$2:$Q$2,0)+1,2),0),1))*(1+IF(B9="Box",$AY$3,$AY$4)),0)</f>
        <v>0</v>
      </c>
      <c r="AU9" s="61">
        <f t="shared" si="18"/>
        <v>0</v>
      </c>
      <c r="AV9" s="61">
        <f>IFERROR((AK9/1000)*R9*IF(AC9="",1,IFERROR(VLOOKUP(AC9,DEFAULTS!$M$3:$Q$6,IFERROR(MATCH($B$3,DEFAULTS!$N$2:$Q$2,0)+1,2),0),1))*(1+IF(B9="Box",$AY$3,$AY$4)),0)</f>
        <v>0</v>
      </c>
      <c r="AW9" s="61">
        <f t="shared" si="19"/>
        <v>0</v>
      </c>
      <c r="AX9" s="62">
        <f t="shared" si="4"/>
        <v>0</v>
      </c>
      <c r="AY9" s="62">
        <f t="shared" si="5"/>
        <v>0</v>
      </c>
      <c r="AZ9" s="63">
        <f t="shared" si="6"/>
        <v>0</v>
      </c>
      <c r="BA9" s="8">
        <f t="shared" si="7"/>
        <v>0</v>
      </c>
      <c r="BB9" s="8"/>
      <c r="BC9" s="8"/>
      <c r="BD9" s="8"/>
      <c r="BE9" s="8"/>
      <c r="BF9" s="8"/>
      <c r="BG9" s="8"/>
      <c r="BH9" s="8"/>
      <c r="BI9" s="8"/>
      <c r="BJ9" s="8">
        <f t="shared" si="8"/>
        <v>0</v>
      </c>
      <c r="BK9" s="8">
        <f>IFERROR(AY9*IFERROR(IF($BK$4="",VLOOKUP(E9,DEFAULTS!$S$3:$V$20,IFERROR(MATCH($B$3,DEFAULTS!$T$3:$V$3,0)+1,2),0),$BK$4),0),0)</f>
        <v>0</v>
      </c>
      <c r="BL9" s="63">
        <f t="shared" si="9"/>
        <v>0</v>
      </c>
      <c r="BM9" s="45">
        <f t="shared" si="20"/>
        <v>0.02</v>
      </c>
      <c r="BN9" s="8">
        <f t="shared" si="10"/>
        <v>0</v>
      </c>
      <c r="BO9" s="64">
        <f t="shared" si="11"/>
        <v>0</v>
      </c>
      <c r="BP9" s="8" t="str">
        <f t="shared" si="12"/>
        <v/>
      </c>
      <c r="BQ9" s="57" t="str">
        <f t="shared" si="13"/>
        <v/>
      </c>
      <c r="BR9" s="57"/>
      <c r="BS9" s="57" t="str">
        <f t="shared" si="14"/>
        <v/>
      </c>
      <c r="BT9" s="8" t="str">
        <f t="shared" si="15"/>
        <v/>
      </c>
    </row>
    <row r="10" spans="1:72" ht="15" customHeight="1" x14ac:dyDescent="0.45">
      <c r="A10" s="53" t="str">
        <f>IF(B10="","",IF(B10="Box",COUNTIF($B$7:B10,"Box"),TEXT(COUNTIF($B$7:B10,"Box"),"0")&amp;IF(B10="Plate","a",IF(B10="Part-L","b",IF(B10="Part-W","c","")))))</f>
        <v/>
      </c>
      <c r="B10" s="28"/>
      <c r="C10" s="28"/>
      <c r="D10" s="54"/>
      <c r="E10" s="54"/>
      <c r="F10" s="55" t="str">
        <f>IF(OR(B10="",B10="Box"),"",IF(B10="Plate",IFERROR(LOOKUP(2,1/(B$7:B9="Box"),F$7:F9)-5,""),""))</f>
        <v/>
      </c>
      <c r="G10" s="55" t="str">
        <f>IF(OR(B10="",B10="Box"),"",IF(B10="Plate",IFERROR(LOOKUP(2,1/(B$7:B9="Box"),G$7:G9)-5,""),IF(OR(B10="Part-L",B10="Part-W"),IFERROR(LOOKUP(2,1/(B$7:B9="Box"),H$7:H9)-15,""),"")))</f>
        <v/>
      </c>
      <c r="H10" s="28"/>
      <c r="I10" s="28"/>
      <c r="J10" s="28"/>
      <c r="K10" s="28"/>
      <c r="L10" s="56" t="str">
        <f>IFERROR(INDEX(DEFAULTS!$E:$E,MATCH(I10,DEFAULTS!$A:$A,0)),"")</f>
        <v/>
      </c>
      <c r="M10" s="56" t="str">
        <f>IFERROR(INDEX(DEFAULTS!$F:$F,MATCH(I10,DEFAULTS!$A:$A,0)),"")</f>
        <v/>
      </c>
      <c r="N10" s="56" t="str">
        <f>IFERROR(INDEX(DEFAULTS!$G:$G,MATCH(I10,DEFAULTS!$A:$A,0)),"")</f>
        <v/>
      </c>
      <c r="O10" s="56" t="str">
        <f>IFERROR(INDEX(DEFAULTS!$H:$H,MATCH(I10,DEFAULTS!$A:$A,0)),"")</f>
        <v/>
      </c>
      <c r="P10" s="57" t="str">
        <f t="shared" si="0"/>
        <v/>
      </c>
      <c r="Q10" s="57" t="str">
        <f t="shared" si="1"/>
        <v/>
      </c>
      <c r="R10" s="58" t="str">
        <f t="shared" si="2"/>
        <v/>
      </c>
      <c r="S10" s="28"/>
      <c r="T10" s="57">
        <f>IFERROR(AE10+AG10*IF(AB10="",1,IFERROR(VLOOKUP(AB10,DEFAULTS!$M$3:$Q$6,IFERROR(MATCH($B$3,DEFAULTS!$N$2:$Q$2,0)+1,2),0),1))+AI10+AK10*IF(AC10="",1,IFERROR(VLOOKUP(AC10,DEFAULTS!$M$3:$Q$6,IFERROR(MATCH($B$3,DEFAULTS!$N$2:$Q$2,0)+1,2),0),1))+AM10,"")</f>
        <v>0</v>
      </c>
      <c r="U10" s="28"/>
      <c r="V10" s="59">
        <f t="shared" si="3"/>
        <v>0</v>
      </c>
      <c r="W10" s="28"/>
      <c r="X10" s="28"/>
      <c r="Y10" s="28"/>
      <c r="Z10" s="28"/>
      <c r="AA10" s="57">
        <f t="shared" si="16"/>
        <v>0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60" t="str">
        <f>IFERROR(VLOOKUP(AD10,'RATE MASTER'!$A:$G,7,0)+IFERROR(VLOOKUP(AE10,'RATE MASTER'!$K$7:$M$10,3,1),0),"")</f>
        <v/>
      </c>
      <c r="AO10" s="60" t="str">
        <f>IFERROR(VLOOKUP(AF10,'RATE MASTER'!$A:$G,7,0)+IFERROR(VLOOKUP(AG10,'RATE MASTER'!$K$7:$M$10,3,1),0),"")</f>
        <v/>
      </c>
      <c r="AP10" s="60" t="str">
        <f>IFERROR(VLOOKUP(AH10,'RATE MASTER'!$A:$G,7,0)+IFERROR(VLOOKUP(AI10,'RATE MASTER'!$K$7:$M$10,3,1),0),"")</f>
        <v/>
      </c>
      <c r="AQ10" s="60" t="str">
        <f>IFERROR(VLOOKUP(AJ10,'RATE MASTER'!$A:$G,7,0)+IFERROR(VLOOKUP(AK10,'RATE MASTER'!$K$7:$M$10,3,1),0),"")</f>
        <v/>
      </c>
      <c r="AR10" s="60" t="str">
        <f>IFERROR(VLOOKUP(AL10,'RATE MASTER'!$A:$G,7,0)+IFERROR(VLOOKUP(AM10,'RATE MASTER'!$K$7:$M$10,3,1),0),"")</f>
        <v/>
      </c>
      <c r="AS10" s="61">
        <f t="shared" si="17"/>
        <v>0</v>
      </c>
      <c r="AT10" s="61">
        <f>IFERROR((AG10/1000)*R10*IF(AB10="",1,IFERROR(VLOOKUP(AB10,DEFAULTS!$M$3:$Q$6,IFERROR(MATCH($B$3,DEFAULTS!$N$2:$Q$2,0)+1,2),0),1))*(1+IF(B10="Box",$AY$3,$AY$4)),0)</f>
        <v>0</v>
      </c>
      <c r="AU10" s="61">
        <f t="shared" si="18"/>
        <v>0</v>
      </c>
      <c r="AV10" s="61">
        <f>IFERROR((AK10/1000)*R10*IF(AC10="",1,IFERROR(VLOOKUP(AC10,DEFAULTS!$M$3:$Q$6,IFERROR(MATCH($B$3,DEFAULTS!$N$2:$Q$2,0)+1,2),0),1))*(1+IF(B10="Box",$AY$3,$AY$4)),0)</f>
        <v>0</v>
      </c>
      <c r="AW10" s="61">
        <f t="shared" si="19"/>
        <v>0</v>
      </c>
      <c r="AX10" s="62">
        <f t="shared" si="4"/>
        <v>0</v>
      </c>
      <c r="AY10" s="62">
        <f t="shared" si="5"/>
        <v>0</v>
      </c>
      <c r="AZ10" s="63">
        <f t="shared" si="6"/>
        <v>0</v>
      </c>
      <c r="BA10" s="8">
        <f t="shared" si="7"/>
        <v>0</v>
      </c>
      <c r="BB10" s="8"/>
      <c r="BC10" s="8"/>
      <c r="BD10" s="8"/>
      <c r="BE10" s="8"/>
      <c r="BF10" s="8"/>
      <c r="BG10" s="8"/>
      <c r="BH10" s="8"/>
      <c r="BI10" s="8"/>
      <c r="BJ10" s="8">
        <f t="shared" si="8"/>
        <v>0</v>
      </c>
      <c r="BK10" s="8">
        <f>IFERROR(AY10*IFERROR(IF($BK$4="",VLOOKUP(E10,DEFAULTS!$S$3:$V$20,IFERROR(MATCH($B$3,DEFAULTS!$T$3:$V$3,0)+1,2),0),$BK$4),0),0)</f>
        <v>0</v>
      </c>
      <c r="BL10" s="63">
        <f t="shared" si="9"/>
        <v>0</v>
      </c>
      <c r="BM10" s="45">
        <f t="shared" si="20"/>
        <v>0.02</v>
      </c>
      <c r="BN10" s="8">
        <f t="shared" si="10"/>
        <v>0</v>
      </c>
      <c r="BO10" s="64">
        <f t="shared" si="11"/>
        <v>0</v>
      </c>
      <c r="BP10" s="8" t="str">
        <f t="shared" si="12"/>
        <v/>
      </c>
      <c r="BQ10" s="57" t="str">
        <f t="shared" si="13"/>
        <v/>
      </c>
      <c r="BR10" s="57"/>
      <c r="BS10" s="57" t="str">
        <f t="shared" si="14"/>
        <v/>
      </c>
      <c r="BT10" s="8" t="str">
        <f t="shared" si="15"/>
        <v/>
      </c>
    </row>
    <row r="11" spans="1:72" ht="15" customHeight="1" x14ac:dyDescent="0.45">
      <c r="A11" s="53" t="str">
        <f>IF(B11="","",IF(B11="Box",COUNTIF($B$7:B11,"Box"),TEXT(COUNTIF($B$7:B11,"Box"),"0")&amp;IF(B11="Plate","a",IF(B11="Part-L","b",IF(B11="Part-W","c","")))))</f>
        <v/>
      </c>
      <c r="B11" s="28"/>
      <c r="C11" s="28"/>
      <c r="D11" s="54"/>
      <c r="E11" s="54"/>
      <c r="F11" s="55" t="str">
        <f>IF(OR(B11="",B11="Box"),"",IF(B11="Plate",IFERROR(LOOKUP(2,1/(B$7:B10="Box"),F$7:F10)-5,""),""))</f>
        <v/>
      </c>
      <c r="G11" s="55" t="str">
        <f>IF(OR(B11="",B11="Box"),"",IF(B11="Plate",IFERROR(LOOKUP(2,1/(B$7:B10="Box"),G$7:G10)-5,""),IF(OR(B11="Part-L",B11="Part-W"),IFERROR(LOOKUP(2,1/(B$7:B10="Box"),H$7:H10)-15,""),"")))</f>
        <v/>
      </c>
      <c r="H11" s="28"/>
      <c r="I11" s="28"/>
      <c r="J11" s="28"/>
      <c r="K11" s="28"/>
      <c r="L11" s="56" t="str">
        <f>IFERROR(INDEX(DEFAULTS!$E:$E,MATCH(I11,DEFAULTS!$A:$A,0)),"")</f>
        <v/>
      </c>
      <c r="M11" s="56" t="str">
        <f>IFERROR(INDEX(DEFAULTS!$F:$F,MATCH(I11,DEFAULTS!$A:$A,0)),"")</f>
        <v/>
      </c>
      <c r="N11" s="56" t="str">
        <f>IFERROR(INDEX(DEFAULTS!$G:$G,MATCH(I11,DEFAULTS!$A:$A,0)),"")</f>
        <v/>
      </c>
      <c r="O11" s="56" t="str">
        <f>IFERROR(INDEX(DEFAULTS!$H:$H,MATCH(I11,DEFAULTS!$A:$A,0)),"")</f>
        <v/>
      </c>
      <c r="P11" s="57" t="str">
        <f t="shared" si="0"/>
        <v/>
      </c>
      <c r="Q11" s="57" t="str">
        <f t="shared" si="1"/>
        <v/>
      </c>
      <c r="R11" s="58" t="str">
        <f t="shared" si="2"/>
        <v/>
      </c>
      <c r="S11" s="28"/>
      <c r="T11" s="57">
        <f>IFERROR(AE11+AG11*IF(AB11="",1,IFERROR(VLOOKUP(AB11,DEFAULTS!$M$3:$Q$6,IFERROR(MATCH($B$3,DEFAULTS!$N$2:$Q$2,0)+1,2),0),1))+AI11+AK11*IF(AC11="",1,IFERROR(VLOOKUP(AC11,DEFAULTS!$M$3:$Q$6,IFERROR(MATCH($B$3,DEFAULTS!$N$2:$Q$2,0)+1,2),0),1))+AM11,"")</f>
        <v>0</v>
      </c>
      <c r="U11" s="28"/>
      <c r="V11" s="59">
        <f t="shared" si="3"/>
        <v>0</v>
      </c>
      <c r="W11" s="28"/>
      <c r="X11" s="28"/>
      <c r="Y11" s="28"/>
      <c r="Z11" s="28"/>
      <c r="AA11" s="57">
        <f t="shared" si="16"/>
        <v>0</v>
      </c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60" t="str">
        <f>IFERROR(VLOOKUP(AD11,'RATE MASTER'!$A:$G,7,0)+IFERROR(VLOOKUP(AE11,'RATE MASTER'!$K$7:$M$10,3,1),0),"")</f>
        <v/>
      </c>
      <c r="AO11" s="60" t="str">
        <f>IFERROR(VLOOKUP(AF11,'RATE MASTER'!$A:$G,7,0)+IFERROR(VLOOKUP(AG11,'RATE MASTER'!$K$7:$M$10,3,1),0),"")</f>
        <v/>
      </c>
      <c r="AP11" s="60" t="str">
        <f>IFERROR(VLOOKUP(AH11,'RATE MASTER'!$A:$G,7,0)+IFERROR(VLOOKUP(AI11,'RATE MASTER'!$K$7:$M$10,3,1),0),"")</f>
        <v/>
      </c>
      <c r="AQ11" s="60" t="str">
        <f>IFERROR(VLOOKUP(AJ11,'RATE MASTER'!$A:$G,7,0)+IFERROR(VLOOKUP(AK11,'RATE MASTER'!$K$7:$M$10,3,1),0),"")</f>
        <v/>
      </c>
      <c r="AR11" s="60" t="str">
        <f>IFERROR(VLOOKUP(AL11,'RATE MASTER'!$A:$G,7,0)+IFERROR(VLOOKUP(AM11,'RATE MASTER'!$K$7:$M$10,3,1),0),"")</f>
        <v/>
      </c>
      <c r="AS11" s="61">
        <f t="shared" si="17"/>
        <v>0</v>
      </c>
      <c r="AT11" s="61">
        <f>IFERROR((AG11/1000)*R11*IF(AB11="",1,IFERROR(VLOOKUP(AB11,DEFAULTS!$M$3:$Q$6,IFERROR(MATCH($B$3,DEFAULTS!$N$2:$Q$2,0)+1,2),0),1))*(1+IF(B11="Box",$AY$3,$AY$4)),0)</f>
        <v>0</v>
      </c>
      <c r="AU11" s="61">
        <f t="shared" si="18"/>
        <v>0</v>
      </c>
      <c r="AV11" s="61">
        <f>IFERROR((AK11/1000)*R11*IF(AC11="",1,IFERROR(VLOOKUP(AC11,DEFAULTS!$M$3:$Q$6,IFERROR(MATCH($B$3,DEFAULTS!$N$2:$Q$2,0)+1,2),0),1))*(1+IF(B11="Box",$AY$3,$AY$4)),0)</f>
        <v>0</v>
      </c>
      <c r="AW11" s="61">
        <f t="shared" si="19"/>
        <v>0</v>
      </c>
      <c r="AX11" s="62">
        <f t="shared" si="4"/>
        <v>0</v>
      </c>
      <c r="AY11" s="62">
        <f t="shared" si="5"/>
        <v>0</v>
      </c>
      <c r="AZ11" s="63">
        <f t="shared" si="6"/>
        <v>0</v>
      </c>
      <c r="BA11" s="8">
        <f t="shared" si="7"/>
        <v>0</v>
      </c>
      <c r="BB11" s="8"/>
      <c r="BC11" s="8"/>
      <c r="BD11" s="8"/>
      <c r="BE11" s="8"/>
      <c r="BF11" s="8"/>
      <c r="BG11" s="8"/>
      <c r="BH11" s="8"/>
      <c r="BI11" s="8"/>
      <c r="BJ11" s="8">
        <f t="shared" si="8"/>
        <v>0</v>
      </c>
      <c r="BK11" s="8">
        <f>IFERROR(AY11*IFERROR(IF($BK$4="",VLOOKUP(E11,DEFAULTS!$S$3:$V$20,IFERROR(MATCH($B$3,DEFAULTS!$T$3:$V$3,0)+1,2),0),$BK$4),0),0)</f>
        <v>0</v>
      </c>
      <c r="BL11" s="63">
        <f t="shared" si="9"/>
        <v>0</v>
      </c>
      <c r="BM11" s="45">
        <f t="shared" si="20"/>
        <v>0.02</v>
      </c>
      <c r="BN11" s="8">
        <f t="shared" si="10"/>
        <v>0</v>
      </c>
      <c r="BO11" s="64">
        <f t="shared" si="11"/>
        <v>0</v>
      </c>
      <c r="BP11" s="8" t="str">
        <f t="shared" si="12"/>
        <v/>
      </c>
      <c r="BQ11" s="57" t="str">
        <f t="shared" si="13"/>
        <v/>
      </c>
      <c r="BR11" s="57"/>
      <c r="BS11" s="57" t="str">
        <f t="shared" si="14"/>
        <v/>
      </c>
      <c r="BT11" s="8" t="str">
        <f t="shared" si="15"/>
        <v/>
      </c>
    </row>
    <row r="12" spans="1:72" ht="15" customHeight="1" x14ac:dyDescent="0.45">
      <c r="A12" s="53" t="str">
        <f>IF(B12="","",IF(B12="Box",COUNTIF($B$7:B12,"Box"),TEXT(COUNTIF($B$7:B12,"Box"),"0")&amp;IF(B12="Plate","a",IF(B12="Part-L","b",IF(B12="Part-W","c","")))))</f>
        <v/>
      </c>
      <c r="B12" s="28"/>
      <c r="C12" s="28"/>
      <c r="D12" s="54"/>
      <c r="E12" s="54"/>
      <c r="F12" s="55" t="str">
        <f>IF(OR(B12="",B12="Box"),"",IF(B12="Plate",IFERROR(LOOKUP(2,1/(B$7:B11="Box"),F$7:F11)-5,""),""))</f>
        <v/>
      </c>
      <c r="G12" s="55" t="str">
        <f>IF(OR(B12="",B12="Box"),"",IF(B12="Plate",IFERROR(LOOKUP(2,1/(B$7:B11="Box"),G$7:G11)-5,""),IF(OR(B12="Part-L",B12="Part-W"),IFERROR(LOOKUP(2,1/(B$7:B11="Box"),H$7:H11)-15,""),"")))</f>
        <v/>
      </c>
      <c r="H12" s="28"/>
      <c r="I12" s="28"/>
      <c r="J12" s="28"/>
      <c r="K12" s="28"/>
      <c r="L12" s="56" t="str">
        <f>IFERROR(INDEX(DEFAULTS!$E:$E,MATCH(I12,DEFAULTS!$A:$A,0)),"")</f>
        <v/>
      </c>
      <c r="M12" s="56" t="str">
        <f>IFERROR(INDEX(DEFAULTS!$F:$F,MATCH(I12,DEFAULTS!$A:$A,0)),"")</f>
        <v/>
      </c>
      <c r="N12" s="56" t="str">
        <f>IFERROR(INDEX(DEFAULTS!$G:$G,MATCH(I12,DEFAULTS!$A:$A,0)),"")</f>
        <v/>
      </c>
      <c r="O12" s="56" t="str">
        <f>IFERROR(INDEX(DEFAULTS!$H:$H,MATCH(I12,DEFAULTS!$A:$A,0)),"")</f>
        <v/>
      </c>
      <c r="P12" s="57" t="str">
        <f t="shared" si="0"/>
        <v/>
      </c>
      <c r="Q12" s="57" t="str">
        <f t="shared" si="1"/>
        <v/>
      </c>
      <c r="R12" s="58" t="str">
        <f t="shared" si="2"/>
        <v/>
      </c>
      <c r="S12" s="28"/>
      <c r="T12" s="57">
        <f>IFERROR(AE12+AG12*IF(AB12="",1,IFERROR(VLOOKUP(AB12,DEFAULTS!$M$3:$Q$6,IFERROR(MATCH($B$3,DEFAULTS!$N$2:$Q$2,0)+1,2),0),1))+AI12+AK12*IF(AC12="",1,IFERROR(VLOOKUP(AC12,DEFAULTS!$M$3:$Q$6,IFERROR(MATCH($B$3,DEFAULTS!$N$2:$Q$2,0)+1,2),0),1))+AM12,"")</f>
        <v>0</v>
      </c>
      <c r="U12" s="28"/>
      <c r="V12" s="59">
        <f t="shared" si="3"/>
        <v>0</v>
      </c>
      <c r="W12" s="28"/>
      <c r="X12" s="28"/>
      <c r="Y12" s="28"/>
      <c r="Z12" s="28"/>
      <c r="AA12" s="57">
        <f t="shared" si="16"/>
        <v>0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60" t="str">
        <f>IFERROR(VLOOKUP(AD12,'RATE MASTER'!$A:$G,7,0)+IFERROR(VLOOKUP(AE12,'RATE MASTER'!$K$7:$M$10,3,1),0),"")</f>
        <v/>
      </c>
      <c r="AO12" s="60" t="str">
        <f>IFERROR(VLOOKUP(AF12,'RATE MASTER'!$A:$G,7,0)+IFERROR(VLOOKUP(AG12,'RATE MASTER'!$K$7:$M$10,3,1),0),"")</f>
        <v/>
      </c>
      <c r="AP12" s="60" t="str">
        <f>IFERROR(VLOOKUP(AH12,'RATE MASTER'!$A:$G,7,0)+IFERROR(VLOOKUP(AI12,'RATE MASTER'!$K$7:$M$10,3,1),0),"")</f>
        <v/>
      </c>
      <c r="AQ12" s="60" t="str">
        <f>IFERROR(VLOOKUP(AJ12,'RATE MASTER'!$A:$G,7,0)+IFERROR(VLOOKUP(AK12,'RATE MASTER'!$K$7:$M$10,3,1),0),"")</f>
        <v/>
      </c>
      <c r="AR12" s="60" t="str">
        <f>IFERROR(VLOOKUP(AL12,'RATE MASTER'!$A:$G,7,0)+IFERROR(VLOOKUP(AM12,'RATE MASTER'!$K$7:$M$10,3,1),0),"")</f>
        <v/>
      </c>
      <c r="AS12" s="61">
        <f t="shared" si="17"/>
        <v>0</v>
      </c>
      <c r="AT12" s="61">
        <f>IFERROR((AG12/1000)*R12*IF(AB12="",1,IFERROR(VLOOKUP(AB12,DEFAULTS!$M$3:$Q$6,IFERROR(MATCH($B$3,DEFAULTS!$N$2:$Q$2,0)+1,2),0),1))*(1+IF(B12="Box",$AY$3,$AY$4)),0)</f>
        <v>0</v>
      </c>
      <c r="AU12" s="61">
        <f t="shared" si="18"/>
        <v>0</v>
      </c>
      <c r="AV12" s="61">
        <f>IFERROR((AK12/1000)*R12*IF(AC12="",1,IFERROR(VLOOKUP(AC12,DEFAULTS!$M$3:$Q$6,IFERROR(MATCH($B$3,DEFAULTS!$N$2:$Q$2,0)+1,2),0),1))*(1+IF(B12="Box",$AY$3,$AY$4)),0)</f>
        <v>0</v>
      </c>
      <c r="AW12" s="61">
        <f t="shared" si="19"/>
        <v>0</v>
      </c>
      <c r="AX12" s="62">
        <f t="shared" si="4"/>
        <v>0</v>
      </c>
      <c r="AY12" s="62">
        <f t="shared" si="5"/>
        <v>0</v>
      </c>
      <c r="AZ12" s="63">
        <f t="shared" si="6"/>
        <v>0</v>
      </c>
      <c r="BA12" s="8">
        <f t="shared" si="7"/>
        <v>0</v>
      </c>
      <c r="BB12" s="8"/>
      <c r="BC12" s="8"/>
      <c r="BD12" s="8"/>
      <c r="BE12" s="8"/>
      <c r="BF12" s="8"/>
      <c r="BG12" s="8"/>
      <c r="BH12" s="8"/>
      <c r="BI12" s="8"/>
      <c r="BJ12" s="8">
        <f t="shared" si="8"/>
        <v>0</v>
      </c>
      <c r="BK12" s="8">
        <f>IFERROR(AY12*IFERROR(IF($BK$4="",VLOOKUP(E12,DEFAULTS!$S$3:$V$20,IFERROR(MATCH($B$3,DEFAULTS!$T$3:$V$3,0)+1,2),0),$BK$4),0),0)</f>
        <v>0</v>
      </c>
      <c r="BL12" s="63">
        <f t="shared" si="9"/>
        <v>0</v>
      </c>
      <c r="BM12" s="45">
        <f t="shared" si="20"/>
        <v>0.02</v>
      </c>
      <c r="BN12" s="8">
        <f t="shared" si="10"/>
        <v>0</v>
      </c>
      <c r="BO12" s="64">
        <f t="shared" si="11"/>
        <v>0</v>
      </c>
      <c r="BP12" s="8" t="str">
        <f t="shared" si="12"/>
        <v/>
      </c>
      <c r="BQ12" s="57" t="str">
        <f t="shared" si="13"/>
        <v/>
      </c>
      <c r="BR12" s="57"/>
      <c r="BS12" s="57" t="str">
        <f t="shared" si="14"/>
        <v/>
      </c>
      <c r="BT12" s="8" t="str">
        <f t="shared" si="15"/>
        <v/>
      </c>
    </row>
    <row r="13" spans="1:72" ht="15" customHeight="1" x14ac:dyDescent="0.45">
      <c r="A13" s="53" t="str">
        <f>IF(B13="","",IF(B13="Box",COUNTIF($B$7:B13,"Box"),TEXT(COUNTIF($B$7:B13,"Box"),"0")&amp;IF(B13="Plate","a",IF(B13="Part-L","b",IF(B13="Part-W","c","")))))</f>
        <v/>
      </c>
      <c r="B13" s="28"/>
      <c r="C13" s="28"/>
      <c r="D13" s="54"/>
      <c r="E13" s="54"/>
      <c r="F13" s="55" t="str">
        <f>IF(OR(B13="",B13="Box"),"",IF(B13="Plate",IFERROR(LOOKUP(2,1/(B$7:B12="Box"),F$7:F12)-5,""),""))</f>
        <v/>
      </c>
      <c r="G13" s="55" t="str">
        <f>IF(OR(B13="",B13="Box"),"",IF(B13="Plate",IFERROR(LOOKUP(2,1/(B$7:B12="Box"),G$7:G12)-5,""),IF(OR(B13="Part-L",B13="Part-W"),IFERROR(LOOKUP(2,1/(B$7:B12="Box"),H$7:H12)-15,""),"")))</f>
        <v/>
      </c>
      <c r="H13" s="28"/>
      <c r="I13" s="28"/>
      <c r="J13" s="28"/>
      <c r="K13" s="28"/>
      <c r="L13" s="56" t="str">
        <f>IFERROR(INDEX(DEFAULTS!$E:$E,MATCH(I13,DEFAULTS!$A:$A,0)),"")</f>
        <v/>
      </c>
      <c r="M13" s="56" t="str">
        <f>IFERROR(INDEX(DEFAULTS!$F:$F,MATCH(I13,DEFAULTS!$A:$A,0)),"")</f>
        <v/>
      </c>
      <c r="N13" s="56" t="str">
        <f>IFERROR(INDEX(DEFAULTS!$G:$G,MATCH(I13,DEFAULTS!$A:$A,0)),"")</f>
        <v/>
      </c>
      <c r="O13" s="56" t="str">
        <f>IFERROR(INDEX(DEFAULTS!$H:$H,MATCH(I13,DEFAULTS!$A:$A,0)),"")</f>
        <v/>
      </c>
      <c r="P13" s="57" t="str">
        <f t="shared" si="0"/>
        <v/>
      </c>
      <c r="Q13" s="57" t="str">
        <f t="shared" si="1"/>
        <v/>
      </c>
      <c r="R13" s="58" t="str">
        <f t="shared" si="2"/>
        <v/>
      </c>
      <c r="S13" s="28"/>
      <c r="T13" s="57">
        <f>IFERROR(AE13+AG13*IF(AB13="",1,IFERROR(VLOOKUP(AB13,DEFAULTS!$M$3:$Q$6,IFERROR(MATCH($B$3,DEFAULTS!$N$2:$Q$2,0)+1,2),0),1))+AI13+AK13*IF(AC13="",1,IFERROR(VLOOKUP(AC13,DEFAULTS!$M$3:$Q$6,IFERROR(MATCH($B$3,DEFAULTS!$N$2:$Q$2,0)+1,2),0),1))+AM13,"")</f>
        <v>0</v>
      </c>
      <c r="U13" s="28"/>
      <c r="V13" s="59">
        <f t="shared" si="3"/>
        <v>0</v>
      </c>
      <c r="W13" s="28"/>
      <c r="X13" s="28"/>
      <c r="Y13" s="28"/>
      <c r="Z13" s="28"/>
      <c r="AA13" s="57">
        <f t="shared" si="16"/>
        <v>0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60" t="str">
        <f>IFERROR(VLOOKUP(AD13,'RATE MASTER'!$A:$G,7,0)+IFERROR(VLOOKUP(AE13,'RATE MASTER'!$K$7:$M$10,3,1),0),"")</f>
        <v/>
      </c>
      <c r="AO13" s="60" t="str">
        <f>IFERROR(VLOOKUP(AF13,'RATE MASTER'!$A:$G,7,0)+IFERROR(VLOOKUP(AG13,'RATE MASTER'!$K$7:$M$10,3,1),0),"")</f>
        <v/>
      </c>
      <c r="AP13" s="60" t="str">
        <f>IFERROR(VLOOKUP(AH13,'RATE MASTER'!$A:$G,7,0)+IFERROR(VLOOKUP(AI13,'RATE MASTER'!$K$7:$M$10,3,1),0),"")</f>
        <v/>
      </c>
      <c r="AQ13" s="60" t="str">
        <f>IFERROR(VLOOKUP(AJ13,'RATE MASTER'!$A:$G,7,0)+IFERROR(VLOOKUP(AK13,'RATE MASTER'!$K$7:$M$10,3,1),0),"")</f>
        <v/>
      </c>
      <c r="AR13" s="60" t="str">
        <f>IFERROR(VLOOKUP(AL13,'RATE MASTER'!$A:$G,7,0)+IFERROR(VLOOKUP(AM13,'RATE MASTER'!$K$7:$M$10,3,1),0),"")</f>
        <v/>
      </c>
      <c r="AS13" s="61">
        <f t="shared" si="17"/>
        <v>0</v>
      </c>
      <c r="AT13" s="61">
        <f>IFERROR((AG13/1000)*R13*IF(AB13="",1,IFERROR(VLOOKUP(AB13,DEFAULTS!$M$3:$Q$6,IFERROR(MATCH($B$3,DEFAULTS!$N$2:$Q$2,0)+1,2),0),1))*(1+IF(B13="Box",$AY$3,$AY$4)),0)</f>
        <v>0</v>
      </c>
      <c r="AU13" s="61">
        <f t="shared" si="18"/>
        <v>0</v>
      </c>
      <c r="AV13" s="61">
        <f>IFERROR((AK13/1000)*R13*IF(AC13="",1,IFERROR(VLOOKUP(AC13,DEFAULTS!$M$3:$Q$6,IFERROR(MATCH($B$3,DEFAULTS!$N$2:$Q$2,0)+1,2),0),1))*(1+IF(B13="Box",$AY$3,$AY$4)),0)</f>
        <v>0</v>
      </c>
      <c r="AW13" s="61">
        <f t="shared" si="19"/>
        <v>0</v>
      </c>
      <c r="AX13" s="62">
        <f t="shared" si="4"/>
        <v>0</v>
      </c>
      <c r="AY13" s="62">
        <f t="shared" si="5"/>
        <v>0</v>
      </c>
      <c r="AZ13" s="63">
        <f t="shared" si="6"/>
        <v>0</v>
      </c>
      <c r="BA13" s="8">
        <f t="shared" si="7"/>
        <v>0</v>
      </c>
      <c r="BB13" s="8"/>
      <c r="BC13" s="8"/>
      <c r="BD13" s="8"/>
      <c r="BE13" s="8"/>
      <c r="BF13" s="8"/>
      <c r="BG13" s="8"/>
      <c r="BH13" s="8"/>
      <c r="BI13" s="8"/>
      <c r="BJ13" s="8">
        <f t="shared" si="8"/>
        <v>0</v>
      </c>
      <c r="BK13" s="8">
        <f>IFERROR(AY13*IFERROR(IF($BK$4="",VLOOKUP(E13,DEFAULTS!$S$3:$V$20,IFERROR(MATCH($B$3,DEFAULTS!$T$3:$V$3,0)+1,2),0),$BK$4),0),0)</f>
        <v>0</v>
      </c>
      <c r="BL13" s="63">
        <f t="shared" si="9"/>
        <v>0</v>
      </c>
      <c r="BM13" s="45">
        <f t="shared" si="20"/>
        <v>0.02</v>
      </c>
      <c r="BN13" s="8">
        <f t="shared" si="10"/>
        <v>0</v>
      </c>
      <c r="BO13" s="64">
        <f t="shared" si="11"/>
        <v>0</v>
      </c>
      <c r="BP13" s="8" t="str">
        <f t="shared" si="12"/>
        <v/>
      </c>
      <c r="BQ13" s="57" t="str">
        <f t="shared" si="13"/>
        <v/>
      </c>
      <c r="BR13" s="57"/>
      <c r="BS13" s="57" t="str">
        <f t="shared" si="14"/>
        <v/>
      </c>
      <c r="BT13" s="8" t="str">
        <f t="shared" si="15"/>
        <v/>
      </c>
    </row>
    <row r="14" spans="1:72" ht="15" customHeight="1" x14ac:dyDescent="0.45">
      <c r="A14" s="53" t="str">
        <f>IF(B14="","",IF(B14="Box",COUNTIF($B$7:B14,"Box"),TEXT(COUNTIF($B$7:B14,"Box"),"0")&amp;IF(B14="Plate","a",IF(B14="Part-L","b",IF(B14="Part-W","c","")))))</f>
        <v/>
      </c>
      <c r="B14" s="28"/>
      <c r="C14" s="28"/>
      <c r="D14" s="54"/>
      <c r="E14" s="54"/>
      <c r="F14" s="55" t="str">
        <f>IF(OR(B14="",B14="Box"),"",IF(B14="Plate",IFERROR(LOOKUP(2,1/(B$7:B13="Box"),F$7:F13)-5,""),""))</f>
        <v/>
      </c>
      <c r="G14" s="55" t="str">
        <f>IF(OR(B14="",B14="Box"),"",IF(B14="Plate",IFERROR(LOOKUP(2,1/(B$7:B13="Box"),G$7:G13)-5,""),IF(OR(B14="Part-L",B14="Part-W"),IFERROR(LOOKUP(2,1/(B$7:B13="Box"),H$7:H13)-15,""),"")))</f>
        <v/>
      </c>
      <c r="H14" s="28"/>
      <c r="I14" s="28"/>
      <c r="J14" s="28"/>
      <c r="K14" s="28"/>
      <c r="L14" s="56" t="str">
        <f>IFERROR(INDEX(DEFAULTS!$E:$E,MATCH(I14,DEFAULTS!$A:$A,0)),"")</f>
        <v/>
      </c>
      <c r="M14" s="56" t="str">
        <f>IFERROR(INDEX(DEFAULTS!$F:$F,MATCH(I14,DEFAULTS!$A:$A,0)),"")</f>
        <v/>
      </c>
      <c r="N14" s="56" t="str">
        <f>IFERROR(INDEX(DEFAULTS!$G:$G,MATCH(I14,DEFAULTS!$A:$A,0)),"")</f>
        <v/>
      </c>
      <c r="O14" s="56" t="str">
        <f>IFERROR(INDEX(DEFAULTS!$H:$H,MATCH(I14,DEFAULTS!$A:$A,0)),"")</f>
        <v/>
      </c>
      <c r="P14" s="57" t="str">
        <f t="shared" si="0"/>
        <v/>
      </c>
      <c r="Q14" s="57" t="str">
        <f t="shared" si="1"/>
        <v/>
      </c>
      <c r="R14" s="58" t="str">
        <f t="shared" si="2"/>
        <v/>
      </c>
      <c r="S14" s="28"/>
      <c r="T14" s="57">
        <f>IFERROR(AE14+AG14*IF(AB14="",1,IFERROR(VLOOKUP(AB14,DEFAULTS!$M$3:$Q$6,IFERROR(MATCH($B$3,DEFAULTS!$N$2:$Q$2,0)+1,2),0),1))+AI14+AK14*IF(AC14="",1,IFERROR(VLOOKUP(AC14,DEFAULTS!$M$3:$Q$6,IFERROR(MATCH($B$3,DEFAULTS!$N$2:$Q$2,0)+1,2),0),1))+AM14,"")</f>
        <v>0</v>
      </c>
      <c r="U14" s="28"/>
      <c r="V14" s="59">
        <f t="shared" si="3"/>
        <v>0</v>
      </c>
      <c r="W14" s="28"/>
      <c r="X14" s="28"/>
      <c r="Y14" s="28"/>
      <c r="Z14" s="28"/>
      <c r="AA14" s="57">
        <f t="shared" si="16"/>
        <v>0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60" t="str">
        <f>IFERROR(VLOOKUP(AD14,'RATE MASTER'!$A:$G,7,0)+IFERROR(VLOOKUP(AE14,'RATE MASTER'!$K$7:$M$10,3,1),0),"")</f>
        <v/>
      </c>
      <c r="AO14" s="60" t="str">
        <f>IFERROR(VLOOKUP(AF14,'RATE MASTER'!$A:$G,7,0)+IFERROR(VLOOKUP(AG14,'RATE MASTER'!$K$7:$M$10,3,1),0),"")</f>
        <v/>
      </c>
      <c r="AP14" s="60" t="str">
        <f>IFERROR(VLOOKUP(AH14,'RATE MASTER'!$A:$G,7,0)+IFERROR(VLOOKUP(AI14,'RATE MASTER'!$K$7:$M$10,3,1),0),"")</f>
        <v/>
      </c>
      <c r="AQ14" s="60" t="str">
        <f>IFERROR(VLOOKUP(AJ14,'RATE MASTER'!$A:$G,7,0)+IFERROR(VLOOKUP(AK14,'RATE MASTER'!$K$7:$M$10,3,1),0),"")</f>
        <v/>
      </c>
      <c r="AR14" s="60" t="str">
        <f>IFERROR(VLOOKUP(AL14,'RATE MASTER'!$A:$G,7,0)+IFERROR(VLOOKUP(AM14,'RATE MASTER'!$K$7:$M$10,3,1),0),"")</f>
        <v/>
      </c>
      <c r="AS14" s="61">
        <f t="shared" si="17"/>
        <v>0</v>
      </c>
      <c r="AT14" s="61">
        <f>IFERROR((AG14/1000)*R14*IF(AB14="",1,IFERROR(VLOOKUP(AB14,DEFAULTS!$M$3:$Q$6,IFERROR(MATCH($B$3,DEFAULTS!$N$2:$Q$2,0)+1,2),0),1))*(1+IF(B14="Box",$AY$3,$AY$4)),0)</f>
        <v>0</v>
      </c>
      <c r="AU14" s="61">
        <f t="shared" si="18"/>
        <v>0</v>
      </c>
      <c r="AV14" s="61">
        <f>IFERROR((AK14/1000)*R14*IF(AC14="",1,IFERROR(VLOOKUP(AC14,DEFAULTS!$M$3:$Q$6,IFERROR(MATCH($B$3,DEFAULTS!$N$2:$Q$2,0)+1,2),0),1))*(1+IF(B14="Box",$AY$3,$AY$4)),0)</f>
        <v>0</v>
      </c>
      <c r="AW14" s="61">
        <f t="shared" si="19"/>
        <v>0</v>
      </c>
      <c r="AX14" s="62">
        <f t="shared" si="4"/>
        <v>0</v>
      </c>
      <c r="AY14" s="62">
        <f t="shared" si="5"/>
        <v>0</v>
      </c>
      <c r="AZ14" s="63">
        <f t="shared" si="6"/>
        <v>0</v>
      </c>
      <c r="BA14" s="8">
        <f t="shared" si="7"/>
        <v>0</v>
      </c>
      <c r="BB14" s="8"/>
      <c r="BC14" s="8"/>
      <c r="BD14" s="8"/>
      <c r="BE14" s="8"/>
      <c r="BF14" s="8"/>
      <c r="BG14" s="8"/>
      <c r="BH14" s="8"/>
      <c r="BI14" s="8"/>
      <c r="BJ14" s="8">
        <f t="shared" si="8"/>
        <v>0</v>
      </c>
      <c r="BK14" s="8">
        <f>IFERROR(AY14*IFERROR(IF($BK$4="",VLOOKUP(E14,DEFAULTS!$S$3:$V$20,IFERROR(MATCH($B$3,DEFAULTS!$T$3:$V$3,0)+1,2),0),$BK$4),0),0)</f>
        <v>0</v>
      </c>
      <c r="BL14" s="63">
        <f t="shared" si="9"/>
        <v>0</v>
      </c>
      <c r="BM14" s="45">
        <f t="shared" si="20"/>
        <v>0.02</v>
      </c>
      <c r="BN14" s="8">
        <f t="shared" si="10"/>
        <v>0</v>
      </c>
      <c r="BO14" s="64">
        <f t="shared" si="11"/>
        <v>0</v>
      </c>
      <c r="BP14" s="8" t="str">
        <f t="shared" si="12"/>
        <v/>
      </c>
      <c r="BQ14" s="57" t="str">
        <f t="shared" si="13"/>
        <v/>
      </c>
      <c r="BR14" s="57"/>
      <c r="BS14" s="57" t="str">
        <f t="shared" si="14"/>
        <v/>
      </c>
      <c r="BT14" s="8" t="str">
        <f t="shared" si="15"/>
        <v/>
      </c>
    </row>
    <row r="15" spans="1:72" ht="15" customHeight="1" x14ac:dyDescent="0.45">
      <c r="A15" s="53" t="str">
        <f>IF(B15="","",IF(B15="Box",COUNTIF($B$7:B15,"Box"),TEXT(COUNTIF($B$7:B15,"Box"),"0")&amp;IF(B15="Plate","a",IF(B15="Part-L","b",IF(B15="Part-W","c","")))))</f>
        <v/>
      </c>
      <c r="B15" s="28"/>
      <c r="C15" s="28"/>
      <c r="D15" s="54"/>
      <c r="E15" s="54"/>
      <c r="F15" s="55" t="str">
        <f>IF(OR(B15="",B15="Box"),"",IF(B15="Plate",IFERROR(LOOKUP(2,1/(B$7:B14="Box"),F$7:F14)-5,""),""))</f>
        <v/>
      </c>
      <c r="G15" s="55" t="str">
        <f>IF(OR(B15="",B15="Box"),"",IF(B15="Plate",IFERROR(LOOKUP(2,1/(B$7:B14="Box"),G$7:G14)-5,""),IF(OR(B15="Part-L",B15="Part-W"),IFERROR(LOOKUP(2,1/(B$7:B14="Box"),H$7:H14)-15,""),"")))</f>
        <v/>
      </c>
      <c r="H15" s="28"/>
      <c r="I15" s="28"/>
      <c r="J15" s="28"/>
      <c r="K15" s="28"/>
      <c r="L15" s="56" t="str">
        <f>IFERROR(INDEX(DEFAULTS!$E:$E,MATCH(I15,DEFAULTS!$A:$A,0)),"")</f>
        <v/>
      </c>
      <c r="M15" s="56" t="str">
        <f>IFERROR(INDEX(DEFAULTS!$F:$F,MATCH(I15,DEFAULTS!$A:$A,0)),"")</f>
        <v/>
      </c>
      <c r="N15" s="56" t="str">
        <f>IFERROR(INDEX(DEFAULTS!$G:$G,MATCH(I15,DEFAULTS!$A:$A,0)),"")</f>
        <v/>
      </c>
      <c r="O15" s="56" t="str">
        <f>IFERROR(INDEX(DEFAULTS!$H:$H,MATCH(I15,DEFAULTS!$A:$A,0)),"")</f>
        <v/>
      </c>
      <c r="P15" s="57" t="str">
        <f t="shared" si="0"/>
        <v/>
      </c>
      <c r="Q15" s="57" t="str">
        <f t="shared" si="1"/>
        <v/>
      </c>
      <c r="R15" s="58" t="str">
        <f t="shared" si="2"/>
        <v/>
      </c>
      <c r="S15" s="28"/>
      <c r="T15" s="57">
        <f>IFERROR(AE15+AG15*IF(AB15="",1,IFERROR(VLOOKUP(AB15,DEFAULTS!$M$3:$Q$6,IFERROR(MATCH($B$3,DEFAULTS!$N$2:$Q$2,0)+1,2),0),1))+AI15+AK15*IF(AC15="",1,IFERROR(VLOOKUP(AC15,DEFAULTS!$M$3:$Q$6,IFERROR(MATCH($B$3,DEFAULTS!$N$2:$Q$2,0)+1,2),0),1))+AM15,"")</f>
        <v>0</v>
      </c>
      <c r="U15" s="28"/>
      <c r="V15" s="59">
        <f t="shared" si="3"/>
        <v>0</v>
      </c>
      <c r="W15" s="28"/>
      <c r="X15" s="28"/>
      <c r="Y15" s="28"/>
      <c r="Z15" s="28"/>
      <c r="AA15" s="57">
        <f t="shared" si="16"/>
        <v>0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60" t="str">
        <f>IFERROR(VLOOKUP(AD15,'RATE MASTER'!$A:$G,7,0)+IFERROR(VLOOKUP(AE15,'RATE MASTER'!$K$7:$M$10,3,1),0),"")</f>
        <v/>
      </c>
      <c r="AO15" s="60" t="str">
        <f>IFERROR(VLOOKUP(AF15,'RATE MASTER'!$A:$G,7,0)+IFERROR(VLOOKUP(AG15,'RATE MASTER'!$K$7:$M$10,3,1),0),"")</f>
        <v/>
      </c>
      <c r="AP15" s="60" t="str">
        <f>IFERROR(VLOOKUP(AH15,'RATE MASTER'!$A:$G,7,0)+IFERROR(VLOOKUP(AI15,'RATE MASTER'!$K$7:$M$10,3,1),0),"")</f>
        <v/>
      </c>
      <c r="AQ15" s="60" t="str">
        <f>IFERROR(VLOOKUP(AJ15,'RATE MASTER'!$A:$G,7,0)+IFERROR(VLOOKUP(AK15,'RATE MASTER'!$K$7:$M$10,3,1),0),"")</f>
        <v/>
      </c>
      <c r="AR15" s="60" t="str">
        <f>IFERROR(VLOOKUP(AL15,'RATE MASTER'!$A:$G,7,0)+IFERROR(VLOOKUP(AM15,'RATE MASTER'!$K$7:$M$10,3,1),0),"")</f>
        <v/>
      </c>
      <c r="AS15" s="61">
        <f t="shared" si="17"/>
        <v>0</v>
      </c>
      <c r="AT15" s="61">
        <f>IFERROR((AG15/1000)*R15*IF(AB15="",1,IFERROR(VLOOKUP(AB15,DEFAULTS!$M$3:$Q$6,IFERROR(MATCH($B$3,DEFAULTS!$N$2:$Q$2,0)+1,2),0),1))*(1+IF(B15="Box",$AY$3,$AY$4)),0)</f>
        <v>0</v>
      </c>
      <c r="AU15" s="61">
        <f t="shared" si="18"/>
        <v>0</v>
      </c>
      <c r="AV15" s="61">
        <f>IFERROR((AK15/1000)*R15*IF(AC15="",1,IFERROR(VLOOKUP(AC15,DEFAULTS!$M$3:$Q$6,IFERROR(MATCH($B$3,DEFAULTS!$N$2:$Q$2,0)+1,2),0),1))*(1+IF(B15="Box",$AY$3,$AY$4)),0)</f>
        <v>0</v>
      </c>
      <c r="AW15" s="61">
        <f t="shared" si="19"/>
        <v>0</v>
      </c>
      <c r="AX15" s="62">
        <f t="shared" si="4"/>
        <v>0</v>
      </c>
      <c r="AY15" s="62">
        <f t="shared" si="5"/>
        <v>0</v>
      </c>
      <c r="AZ15" s="63">
        <f t="shared" si="6"/>
        <v>0</v>
      </c>
      <c r="BA15" s="8">
        <f t="shared" si="7"/>
        <v>0</v>
      </c>
      <c r="BB15" s="8"/>
      <c r="BC15" s="8"/>
      <c r="BD15" s="8"/>
      <c r="BE15" s="8"/>
      <c r="BF15" s="8"/>
      <c r="BG15" s="8"/>
      <c r="BH15" s="8"/>
      <c r="BI15" s="8"/>
      <c r="BJ15" s="8">
        <f t="shared" si="8"/>
        <v>0</v>
      </c>
      <c r="BK15" s="8">
        <f>IFERROR(AY15*IFERROR(IF($BK$4="",VLOOKUP(E15,DEFAULTS!$S$3:$V$20,IFERROR(MATCH($B$3,DEFAULTS!$T$3:$V$3,0)+1,2),0),$BK$4),0),0)</f>
        <v>0</v>
      </c>
      <c r="BL15" s="63">
        <f t="shared" si="9"/>
        <v>0</v>
      </c>
      <c r="BM15" s="45">
        <f t="shared" si="20"/>
        <v>0.02</v>
      </c>
      <c r="BN15" s="8">
        <f t="shared" si="10"/>
        <v>0</v>
      </c>
      <c r="BO15" s="64">
        <f t="shared" si="11"/>
        <v>0</v>
      </c>
      <c r="BP15" s="8" t="str">
        <f t="shared" si="12"/>
        <v/>
      </c>
      <c r="BQ15" s="57" t="str">
        <f t="shared" si="13"/>
        <v/>
      </c>
      <c r="BR15" s="57"/>
      <c r="BS15" s="57" t="str">
        <f t="shared" si="14"/>
        <v/>
      </c>
      <c r="BT15" s="8" t="str">
        <f t="shared" si="15"/>
        <v/>
      </c>
    </row>
    <row r="16" spans="1:72" ht="15" customHeight="1" x14ac:dyDescent="0.45">
      <c r="A16" s="53" t="str">
        <f>IF(B16="","",IF(B16="Box",COUNTIF($B$7:B16,"Box"),TEXT(COUNTIF($B$7:B16,"Box"),"0")&amp;IF(B16="Plate","a",IF(B16="Part-L","b",IF(B16="Part-W","c","")))))</f>
        <v/>
      </c>
      <c r="B16" s="28"/>
      <c r="C16" s="28"/>
      <c r="D16" s="54"/>
      <c r="E16" s="54"/>
      <c r="F16" s="55" t="str">
        <f>IF(OR(B16="",B16="Box"),"",IF(B16="Plate",IFERROR(LOOKUP(2,1/(B$7:B15="Box"),F$7:F15)-5,""),""))</f>
        <v/>
      </c>
      <c r="G16" s="55" t="str">
        <f>IF(OR(B16="",B16="Box"),"",IF(B16="Plate",IFERROR(LOOKUP(2,1/(B$7:B15="Box"),G$7:G15)-5,""),IF(OR(B16="Part-L",B16="Part-W"),IFERROR(LOOKUP(2,1/(B$7:B15="Box"),H$7:H15)-15,""),"")))</f>
        <v/>
      </c>
      <c r="H16" s="28"/>
      <c r="I16" s="28"/>
      <c r="J16" s="28"/>
      <c r="K16" s="28"/>
      <c r="L16" s="56" t="str">
        <f>IFERROR(INDEX(DEFAULTS!$E:$E,MATCH(I16,DEFAULTS!$A:$A,0)),"")</f>
        <v/>
      </c>
      <c r="M16" s="56" t="str">
        <f>IFERROR(INDEX(DEFAULTS!$F:$F,MATCH(I16,DEFAULTS!$A:$A,0)),"")</f>
        <v/>
      </c>
      <c r="N16" s="56" t="str">
        <f>IFERROR(INDEX(DEFAULTS!$G:$G,MATCH(I16,DEFAULTS!$A:$A,0)),"")</f>
        <v/>
      </c>
      <c r="O16" s="56" t="str">
        <f>IFERROR(INDEX(DEFAULTS!$H:$H,MATCH(I16,DEFAULTS!$A:$A,0)),"")</f>
        <v/>
      </c>
      <c r="P16" s="57" t="str">
        <f t="shared" si="0"/>
        <v/>
      </c>
      <c r="Q16" s="57" t="str">
        <f t="shared" si="1"/>
        <v/>
      </c>
      <c r="R16" s="58" t="str">
        <f t="shared" si="2"/>
        <v/>
      </c>
      <c r="S16" s="28"/>
      <c r="T16" s="57">
        <f>IFERROR(AE16+AG16*IF(AB16="",1,IFERROR(VLOOKUP(AB16,DEFAULTS!$M$3:$Q$6,IFERROR(MATCH($B$3,DEFAULTS!$N$2:$Q$2,0)+1,2),0),1))+AI16+AK16*IF(AC16="",1,IFERROR(VLOOKUP(AC16,DEFAULTS!$M$3:$Q$6,IFERROR(MATCH($B$3,DEFAULTS!$N$2:$Q$2,0)+1,2),0),1))+AM16,"")</f>
        <v>0</v>
      </c>
      <c r="U16" s="28"/>
      <c r="V16" s="59">
        <f t="shared" si="3"/>
        <v>0</v>
      </c>
      <c r="W16" s="28"/>
      <c r="X16" s="28"/>
      <c r="Y16" s="28"/>
      <c r="Z16" s="28"/>
      <c r="AA16" s="57">
        <f t="shared" si="16"/>
        <v>0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60" t="str">
        <f>IFERROR(VLOOKUP(AD16,'RATE MASTER'!$A:$G,7,0)+IFERROR(VLOOKUP(AE16,'RATE MASTER'!$K$7:$M$10,3,1),0),"")</f>
        <v/>
      </c>
      <c r="AO16" s="60" t="str">
        <f>IFERROR(VLOOKUP(AF16,'RATE MASTER'!$A:$G,7,0)+IFERROR(VLOOKUP(AG16,'RATE MASTER'!$K$7:$M$10,3,1),0),"")</f>
        <v/>
      </c>
      <c r="AP16" s="60" t="str">
        <f>IFERROR(VLOOKUP(AH16,'RATE MASTER'!$A:$G,7,0)+IFERROR(VLOOKUP(AI16,'RATE MASTER'!$K$7:$M$10,3,1),0),"")</f>
        <v/>
      </c>
      <c r="AQ16" s="60" t="str">
        <f>IFERROR(VLOOKUP(AJ16,'RATE MASTER'!$A:$G,7,0)+IFERROR(VLOOKUP(AK16,'RATE MASTER'!$K$7:$M$10,3,1),0),"")</f>
        <v/>
      </c>
      <c r="AR16" s="60" t="str">
        <f>IFERROR(VLOOKUP(AL16,'RATE MASTER'!$A:$G,7,0)+IFERROR(VLOOKUP(AM16,'RATE MASTER'!$K$7:$M$10,3,1),0),"")</f>
        <v/>
      </c>
      <c r="AS16" s="61">
        <f t="shared" si="17"/>
        <v>0</v>
      </c>
      <c r="AT16" s="61">
        <f>IFERROR((AG16/1000)*R16*IF(AB16="",1,IFERROR(VLOOKUP(AB16,DEFAULTS!$M$3:$Q$6,IFERROR(MATCH($B$3,DEFAULTS!$N$2:$Q$2,0)+1,2),0),1))*(1+IF(B16="Box",$AY$3,$AY$4)),0)</f>
        <v>0</v>
      </c>
      <c r="AU16" s="61">
        <f t="shared" si="18"/>
        <v>0</v>
      </c>
      <c r="AV16" s="61">
        <f>IFERROR((AK16/1000)*R16*IF(AC16="",1,IFERROR(VLOOKUP(AC16,DEFAULTS!$M$3:$Q$6,IFERROR(MATCH($B$3,DEFAULTS!$N$2:$Q$2,0)+1,2),0),1))*(1+IF(B16="Box",$AY$3,$AY$4)),0)</f>
        <v>0</v>
      </c>
      <c r="AW16" s="61">
        <f t="shared" si="19"/>
        <v>0</v>
      </c>
      <c r="AX16" s="62">
        <f t="shared" si="4"/>
        <v>0</v>
      </c>
      <c r="AY16" s="62">
        <f t="shared" si="5"/>
        <v>0</v>
      </c>
      <c r="AZ16" s="63">
        <f t="shared" si="6"/>
        <v>0</v>
      </c>
      <c r="BA16" s="8">
        <f t="shared" si="7"/>
        <v>0</v>
      </c>
      <c r="BB16" s="8"/>
      <c r="BC16" s="8"/>
      <c r="BD16" s="8"/>
      <c r="BE16" s="8"/>
      <c r="BF16" s="8"/>
      <c r="BG16" s="8"/>
      <c r="BH16" s="8"/>
      <c r="BI16" s="8"/>
      <c r="BJ16" s="8">
        <f t="shared" si="8"/>
        <v>0</v>
      </c>
      <c r="BK16" s="8">
        <f>IFERROR(AY16*IFERROR(IF($BK$4="",VLOOKUP(E16,DEFAULTS!$S$3:$V$20,IFERROR(MATCH($B$3,DEFAULTS!$T$3:$V$3,0)+1,2),0),$BK$4),0),0)</f>
        <v>0</v>
      </c>
      <c r="BL16" s="63">
        <f t="shared" si="9"/>
        <v>0</v>
      </c>
      <c r="BM16" s="45">
        <f t="shared" si="20"/>
        <v>0.02</v>
      </c>
      <c r="BN16" s="8">
        <f t="shared" si="10"/>
        <v>0</v>
      </c>
      <c r="BO16" s="64">
        <f t="shared" si="11"/>
        <v>0</v>
      </c>
      <c r="BP16" s="8" t="str">
        <f t="shared" si="12"/>
        <v/>
      </c>
      <c r="BQ16" s="57" t="str">
        <f t="shared" si="13"/>
        <v/>
      </c>
      <c r="BR16" s="57"/>
      <c r="BS16" s="57" t="str">
        <f t="shared" si="14"/>
        <v/>
      </c>
      <c r="BT16" s="8" t="str">
        <f t="shared" si="15"/>
        <v/>
      </c>
    </row>
    <row r="17" spans="1:72" ht="15" customHeight="1" x14ac:dyDescent="0.45">
      <c r="A17" s="53" t="str">
        <f>IF(B17="","",IF(B17="Box",COUNTIF($B$7:B17,"Box"),TEXT(COUNTIF($B$7:B17,"Box"),"0")&amp;IF(B17="Plate","a",IF(B17="Part-L","b",IF(B17="Part-W","c","")))))</f>
        <v/>
      </c>
      <c r="B17" s="28"/>
      <c r="C17" s="28"/>
      <c r="D17" s="54"/>
      <c r="E17" s="54"/>
      <c r="F17" s="55" t="str">
        <f>IF(OR(B17="",B17="Box"),"",IF(B17="Plate",IFERROR(LOOKUP(2,1/(B$7:B16="Box"),F$7:F16)-5,""),""))</f>
        <v/>
      </c>
      <c r="G17" s="55" t="str">
        <f>IF(OR(B17="",B17="Box"),"",IF(B17="Plate",IFERROR(LOOKUP(2,1/(B$7:B16="Box"),G$7:G16)-5,""),IF(OR(B17="Part-L",B17="Part-W"),IFERROR(LOOKUP(2,1/(B$7:B16="Box"),H$7:H16)-15,""),"")))</f>
        <v/>
      </c>
      <c r="H17" s="28"/>
      <c r="I17" s="28"/>
      <c r="J17" s="28"/>
      <c r="K17" s="28"/>
      <c r="L17" s="56" t="str">
        <f>IFERROR(INDEX(DEFAULTS!$E:$E,MATCH(I17,DEFAULTS!$A:$A,0)),"")</f>
        <v/>
      </c>
      <c r="M17" s="56" t="str">
        <f>IFERROR(INDEX(DEFAULTS!$F:$F,MATCH(I17,DEFAULTS!$A:$A,0)),"")</f>
        <v/>
      </c>
      <c r="N17" s="56" t="str">
        <f>IFERROR(INDEX(DEFAULTS!$G:$G,MATCH(I17,DEFAULTS!$A:$A,0)),"")</f>
        <v/>
      </c>
      <c r="O17" s="56" t="str">
        <f>IFERROR(INDEX(DEFAULTS!$H:$H,MATCH(I17,DEFAULTS!$A:$A,0)),"")</f>
        <v/>
      </c>
      <c r="P17" s="57" t="str">
        <f t="shared" si="0"/>
        <v/>
      </c>
      <c r="Q17" s="57" t="str">
        <f t="shared" si="1"/>
        <v/>
      </c>
      <c r="R17" s="58" t="str">
        <f t="shared" si="2"/>
        <v/>
      </c>
      <c r="S17" s="28"/>
      <c r="T17" s="57">
        <f>IFERROR(AE17+AG17*IF(AB17="",1,IFERROR(VLOOKUP(AB17,DEFAULTS!$M$3:$Q$6,IFERROR(MATCH($B$3,DEFAULTS!$N$2:$Q$2,0)+1,2),0),1))+AI17+AK17*IF(AC17="",1,IFERROR(VLOOKUP(AC17,DEFAULTS!$M$3:$Q$6,IFERROR(MATCH($B$3,DEFAULTS!$N$2:$Q$2,0)+1,2),0),1))+AM17,"")</f>
        <v>0</v>
      </c>
      <c r="U17" s="28"/>
      <c r="V17" s="59">
        <f t="shared" si="3"/>
        <v>0</v>
      </c>
      <c r="W17" s="28"/>
      <c r="X17" s="28"/>
      <c r="Y17" s="28"/>
      <c r="Z17" s="28"/>
      <c r="AA17" s="57">
        <f t="shared" si="16"/>
        <v>0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60" t="str">
        <f>IFERROR(VLOOKUP(AD17,'RATE MASTER'!$A:$G,7,0)+IFERROR(VLOOKUP(AE17,'RATE MASTER'!$K$7:$M$10,3,1),0),"")</f>
        <v/>
      </c>
      <c r="AO17" s="60" t="str">
        <f>IFERROR(VLOOKUP(AF17,'RATE MASTER'!$A:$G,7,0)+IFERROR(VLOOKUP(AG17,'RATE MASTER'!$K$7:$M$10,3,1),0),"")</f>
        <v/>
      </c>
      <c r="AP17" s="60" t="str">
        <f>IFERROR(VLOOKUP(AH17,'RATE MASTER'!$A:$G,7,0)+IFERROR(VLOOKUP(AI17,'RATE MASTER'!$K$7:$M$10,3,1),0),"")</f>
        <v/>
      </c>
      <c r="AQ17" s="60" t="str">
        <f>IFERROR(VLOOKUP(AJ17,'RATE MASTER'!$A:$G,7,0)+IFERROR(VLOOKUP(AK17,'RATE MASTER'!$K$7:$M$10,3,1),0),"")</f>
        <v/>
      </c>
      <c r="AR17" s="60" t="str">
        <f>IFERROR(VLOOKUP(AL17,'RATE MASTER'!$A:$G,7,0)+IFERROR(VLOOKUP(AM17,'RATE MASTER'!$K$7:$M$10,3,1),0),"")</f>
        <v/>
      </c>
      <c r="AS17" s="61">
        <f t="shared" si="17"/>
        <v>0</v>
      </c>
      <c r="AT17" s="61">
        <f>IFERROR((AG17/1000)*R17*IF(AB17="",1,IFERROR(VLOOKUP(AB17,DEFAULTS!$M$3:$Q$6,IFERROR(MATCH($B$3,DEFAULTS!$N$2:$Q$2,0)+1,2),0),1))*(1+IF(B17="Box",$AY$3,$AY$4)),0)</f>
        <v>0</v>
      </c>
      <c r="AU17" s="61">
        <f t="shared" si="18"/>
        <v>0</v>
      </c>
      <c r="AV17" s="61">
        <f>IFERROR((AK17/1000)*R17*IF(AC17="",1,IFERROR(VLOOKUP(AC17,DEFAULTS!$M$3:$Q$6,IFERROR(MATCH($B$3,DEFAULTS!$N$2:$Q$2,0)+1,2),0),1))*(1+IF(B17="Box",$AY$3,$AY$4)),0)</f>
        <v>0</v>
      </c>
      <c r="AW17" s="61">
        <f t="shared" si="19"/>
        <v>0</v>
      </c>
      <c r="AX17" s="62">
        <f t="shared" si="4"/>
        <v>0</v>
      </c>
      <c r="AY17" s="62">
        <f t="shared" si="5"/>
        <v>0</v>
      </c>
      <c r="AZ17" s="63">
        <f t="shared" si="6"/>
        <v>0</v>
      </c>
      <c r="BA17" s="8">
        <f t="shared" si="7"/>
        <v>0</v>
      </c>
      <c r="BB17" s="8"/>
      <c r="BC17" s="8"/>
      <c r="BD17" s="8"/>
      <c r="BE17" s="8"/>
      <c r="BF17" s="8"/>
      <c r="BG17" s="8"/>
      <c r="BH17" s="8"/>
      <c r="BI17" s="8"/>
      <c r="BJ17" s="8">
        <f t="shared" si="8"/>
        <v>0</v>
      </c>
      <c r="BK17" s="8">
        <f>IFERROR(AY17*IFERROR(IF($BK$4="",VLOOKUP(E17,DEFAULTS!$S$3:$V$20,IFERROR(MATCH($B$3,DEFAULTS!$T$3:$V$3,0)+1,2),0),$BK$4),0),0)</f>
        <v>0</v>
      </c>
      <c r="BL17" s="63">
        <f t="shared" si="9"/>
        <v>0</v>
      </c>
      <c r="BM17" s="45">
        <f t="shared" si="20"/>
        <v>0.02</v>
      </c>
      <c r="BN17" s="8">
        <f t="shared" si="10"/>
        <v>0</v>
      </c>
      <c r="BO17" s="64">
        <f t="shared" si="11"/>
        <v>0</v>
      </c>
      <c r="BP17" s="8" t="str">
        <f t="shared" si="12"/>
        <v/>
      </c>
      <c r="BQ17" s="57" t="str">
        <f t="shared" si="13"/>
        <v/>
      </c>
      <c r="BR17" s="57"/>
      <c r="BS17" s="57" t="str">
        <f t="shared" si="14"/>
        <v/>
      </c>
      <c r="BT17" s="8" t="str">
        <f t="shared" si="15"/>
        <v/>
      </c>
    </row>
    <row r="18" spans="1:72" ht="15" customHeight="1" x14ac:dyDescent="0.45">
      <c r="A18" s="53" t="str">
        <f>IF(B18="","",IF(B18="Box",COUNTIF($B$7:B18,"Box"),TEXT(COUNTIF($B$7:B18,"Box"),"0")&amp;IF(B18="Plate","a",IF(B18="Part-L","b",IF(B18="Part-W","c","")))))</f>
        <v/>
      </c>
      <c r="B18" s="28"/>
      <c r="C18" s="28"/>
      <c r="D18" s="54"/>
      <c r="E18" s="54"/>
      <c r="F18" s="55" t="str">
        <f>IF(OR(B18="",B18="Box"),"",IF(B18="Plate",IFERROR(LOOKUP(2,1/(B$7:B17="Box"),F$7:F17)-5,""),""))</f>
        <v/>
      </c>
      <c r="G18" s="55" t="str">
        <f>IF(OR(B18="",B18="Box"),"",IF(B18="Plate",IFERROR(LOOKUP(2,1/(B$7:B17="Box"),G$7:G17)-5,""),IF(OR(B18="Part-L",B18="Part-W"),IFERROR(LOOKUP(2,1/(B$7:B17="Box"),H$7:H17)-15,""),"")))</f>
        <v/>
      </c>
      <c r="H18" s="28"/>
      <c r="I18" s="28"/>
      <c r="J18" s="28"/>
      <c r="K18" s="28"/>
      <c r="L18" s="56" t="str">
        <f>IFERROR(INDEX(DEFAULTS!$E:$E,MATCH(I18,DEFAULTS!$A:$A,0)),"")</f>
        <v/>
      </c>
      <c r="M18" s="56" t="str">
        <f>IFERROR(INDEX(DEFAULTS!$F:$F,MATCH(I18,DEFAULTS!$A:$A,0)),"")</f>
        <v/>
      </c>
      <c r="N18" s="56" t="str">
        <f>IFERROR(INDEX(DEFAULTS!$G:$G,MATCH(I18,DEFAULTS!$A:$A,0)),"")</f>
        <v/>
      </c>
      <c r="O18" s="56" t="str">
        <f>IFERROR(INDEX(DEFAULTS!$H:$H,MATCH(I18,DEFAULTS!$A:$A,0)),"")</f>
        <v/>
      </c>
      <c r="P18" s="57" t="str">
        <f t="shared" si="0"/>
        <v/>
      </c>
      <c r="Q18" s="57" t="str">
        <f t="shared" si="1"/>
        <v/>
      </c>
      <c r="R18" s="58" t="str">
        <f t="shared" si="2"/>
        <v/>
      </c>
      <c r="S18" s="28"/>
      <c r="T18" s="57">
        <f>IFERROR(AE18+AG18*IF(AB18="",1,IFERROR(VLOOKUP(AB18,DEFAULTS!$M$3:$Q$6,IFERROR(MATCH($B$3,DEFAULTS!$N$2:$Q$2,0)+1,2),0),1))+AI18+AK18*IF(AC18="",1,IFERROR(VLOOKUP(AC18,DEFAULTS!$M$3:$Q$6,IFERROR(MATCH($B$3,DEFAULTS!$N$2:$Q$2,0)+1,2),0),1))+AM18,"")</f>
        <v>0</v>
      </c>
      <c r="U18" s="28"/>
      <c r="V18" s="59">
        <f t="shared" si="3"/>
        <v>0</v>
      </c>
      <c r="W18" s="28"/>
      <c r="X18" s="28"/>
      <c r="Y18" s="28"/>
      <c r="Z18" s="28"/>
      <c r="AA18" s="57">
        <f t="shared" si="16"/>
        <v>0</v>
      </c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60" t="str">
        <f>IFERROR(VLOOKUP(AD18,'RATE MASTER'!$A:$G,7,0)+IFERROR(VLOOKUP(AE18,'RATE MASTER'!$K$7:$M$10,3,1),0),"")</f>
        <v/>
      </c>
      <c r="AO18" s="60" t="str">
        <f>IFERROR(VLOOKUP(AF18,'RATE MASTER'!$A:$G,7,0)+IFERROR(VLOOKUP(AG18,'RATE MASTER'!$K$7:$M$10,3,1),0),"")</f>
        <v/>
      </c>
      <c r="AP18" s="60" t="str">
        <f>IFERROR(VLOOKUP(AH18,'RATE MASTER'!$A:$G,7,0)+IFERROR(VLOOKUP(AI18,'RATE MASTER'!$K$7:$M$10,3,1),0),"")</f>
        <v/>
      </c>
      <c r="AQ18" s="60" t="str">
        <f>IFERROR(VLOOKUP(AJ18,'RATE MASTER'!$A:$G,7,0)+IFERROR(VLOOKUP(AK18,'RATE MASTER'!$K$7:$M$10,3,1),0),"")</f>
        <v/>
      </c>
      <c r="AR18" s="60" t="str">
        <f>IFERROR(VLOOKUP(AL18,'RATE MASTER'!$A:$G,7,0)+IFERROR(VLOOKUP(AM18,'RATE MASTER'!$K$7:$M$10,3,1),0),"")</f>
        <v/>
      </c>
      <c r="AS18" s="61">
        <f t="shared" si="17"/>
        <v>0</v>
      </c>
      <c r="AT18" s="61">
        <f>IFERROR((AG18/1000)*R18*IF(AB18="",1,IFERROR(VLOOKUP(AB18,DEFAULTS!$M$3:$Q$6,IFERROR(MATCH($B$3,DEFAULTS!$N$2:$Q$2,0)+1,2),0),1))*(1+IF(B18="Box",$AY$3,$AY$4)),0)</f>
        <v>0</v>
      </c>
      <c r="AU18" s="61">
        <f t="shared" si="18"/>
        <v>0</v>
      </c>
      <c r="AV18" s="61">
        <f>IFERROR((AK18/1000)*R18*IF(AC18="",1,IFERROR(VLOOKUP(AC18,DEFAULTS!$M$3:$Q$6,IFERROR(MATCH($B$3,DEFAULTS!$N$2:$Q$2,0)+1,2),0),1))*(1+IF(B18="Box",$AY$3,$AY$4)),0)</f>
        <v>0</v>
      </c>
      <c r="AW18" s="61">
        <f t="shared" si="19"/>
        <v>0</v>
      </c>
      <c r="AX18" s="62">
        <f t="shared" si="4"/>
        <v>0</v>
      </c>
      <c r="AY18" s="62">
        <f t="shared" si="5"/>
        <v>0</v>
      </c>
      <c r="AZ18" s="63">
        <f t="shared" si="6"/>
        <v>0</v>
      </c>
      <c r="BA18" s="8">
        <f t="shared" si="7"/>
        <v>0</v>
      </c>
      <c r="BB18" s="8"/>
      <c r="BC18" s="8"/>
      <c r="BD18" s="8"/>
      <c r="BE18" s="8"/>
      <c r="BF18" s="8"/>
      <c r="BG18" s="8"/>
      <c r="BH18" s="8"/>
      <c r="BI18" s="8"/>
      <c r="BJ18" s="8">
        <f t="shared" si="8"/>
        <v>0</v>
      </c>
      <c r="BK18" s="8">
        <f>IFERROR(AY18*IFERROR(IF($BK$4="",VLOOKUP(E18,DEFAULTS!$S$3:$V$20,IFERROR(MATCH($B$3,DEFAULTS!$T$3:$V$3,0)+1,2),0),$BK$4),0),0)</f>
        <v>0</v>
      </c>
      <c r="BL18" s="63">
        <f t="shared" si="9"/>
        <v>0</v>
      </c>
      <c r="BM18" s="45">
        <f t="shared" si="20"/>
        <v>0.02</v>
      </c>
      <c r="BN18" s="8">
        <f t="shared" si="10"/>
        <v>0</v>
      </c>
      <c r="BO18" s="64">
        <f t="shared" si="11"/>
        <v>0</v>
      </c>
      <c r="BP18" s="8" t="str">
        <f t="shared" si="12"/>
        <v/>
      </c>
      <c r="BQ18" s="57" t="str">
        <f t="shared" si="13"/>
        <v/>
      </c>
      <c r="BR18" s="57"/>
      <c r="BS18" s="57" t="str">
        <f t="shared" si="14"/>
        <v/>
      </c>
      <c r="BT18" s="8" t="str">
        <f t="shared" si="15"/>
        <v/>
      </c>
    </row>
    <row r="19" spans="1:72" ht="15" customHeight="1" x14ac:dyDescent="0.45">
      <c r="A19" s="53" t="str">
        <f>IF(B19="","",IF(B19="Box",COUNTIF($B$7:B19,"Box"),TEXT(COUNTIF($B$7:B19,"Box"),"0")&amp;IF(B19="Plate","a",IF(B19="Part-L","b",IF(B19="Part-W","c","")))))</f>
        <v/>
      </c>
      <c r="B19" s="28"/>
      <c r="C19" s="28"/>
      <c r="D19" s="54"/>
      <c r="E19" s="54"/>
      <c r="F19" s="55" t="str">
        <f>IF(OR(B19="",B19="Box"),"",IF(B19="Plate",IFERROR(LOOKUP(2,1/(B$7:B18="Box"),F$7:F18)-5,""),""))</f>
        <v/>
      </c>
      <c r="G19" s="55" t="str">
        <f>IF(OR(B19="",B19="Box"),"",IF(B19="Plate",IFERROR(LOOKUP(2,1/(B$7:B18="Box"),G$7:G18)-5,""),IF(OR(B19="Part-L",B19="Part-W"),IFERROR(LOOKUP(2,1/(B$7:B18="Box"),H$7:H18)-15,""),"")))</f>
        <v/>
      </c>
      <c r="H19" s="28"/>
      <c r="I19" s="28"/>
      <c r="J19" s="28"/>
      <c r="K19" s="28"/>
      <c r="L19" s="56" t="str">
        <f>IFERROR(INDEX(DEFAULTS!$E:$E,MATCH(I19,DEFAULTS!$A:$A,0)),"")</f>
        <v/>
      </c>
      <c r="M19" s="56" t="str">
        <f>IFERROR(INDEX(DEFAULTS!$F:$F,MATCH(I19,DEFAULTS!$A:$A,0)),"")</f>
        <v/>
      </c>
      <c r="N19" s="56" t="str">
        <f>IFERROR(INDEX(DEFAULTS!$G:$G,MATCH(I19,DEFAULTS!$A:$A,0)),"")</f>
        <v/>
      </c>
      <c r="O19" s="56" t="str">
        <f>IFERROR(INDEX(DEFAULTS!$H:$H,MATCH(I19,DEFAULTS!$A:$A,0)),"")</f>
        <v/>
      </c>
      <c r="P19" s="57" t="str">
        <f t="shared" si="0"/>
        <v/>
      </c>
      <c r="Q19" s="57" t="str">
        <f t="shared" si="1"/>
        <v/>
      </c>
      <c r="R19" s="58" t="str">
        <f t="shared" si="2"/>
        <v/>
      </c>
      <c r="S19" s="28"/>
      <c r="T19" s="57">
        <f>IFERROR(AE19+AG19*IF(AB19="",1,IFERROR(VLOOKUP(AB19,DEFAULTS!$M$3:$Q$6,IFERROR(MATCH($B$3,DEFAULTS!$N$2:$Q$2,0)+1,2),0),1))+AI19+AK19*IF(AC19="",1,IFERROR(VLOOKUP(AC19,DEFAULTS!$M$3:$Q$6,IFERROR(MATCH($B$3,DEFAULTS!$N$2:$Q$2,0)+1,2),0),1))+AM19,"")</f>
        <v>0</v>
      </c>
      <c r="U19" s="28"/>
      <c r="V19" s="59">
        <f t="shared" si="3"/>
        <v>0</v>
      </c>
      <c r="W19" s="28"/>
      <c r="X19" s="28"/>
      <c r="Y19" s="28"/>
      <c r="Z19" s="28"/>
      <c r="AA19" s="57">
        <f t="shared" si="16"/>
        <v>0</v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60" t="str">
        <f>IFERROR(VLOOKUP(AD19,'RATE MASTER'!$A:$G,7,0)+IFERROR(VLOOKUP(AE19,'RATE MASTER'!$K$7:$M$10,3,1),0),"")</f>
        <v/>
      </c>
      <c r="AO19" s="60" t="str">
        <f>IFERROR(VLOOKUP(AF19,'RATE MASTER'!$A:$G,7,0)+IFERROR(VLOOKUP(AG19,'RATE MASTER'!$K$7:$M$10,3,1),0),"")</f>
        <v/>
      </c>
      <c r="AP19" s="60" t="str">
        <f>IFERROR(VLOOKUP(AH19,'RATE MASTER'!$A:$G,7,0)+IFERROR(VLOOKUP(AI19,'RATE MASTER'!$K$7:$M$10,3,1),0),"")</f>
        <v/>
      </c>
      <c r="AQ19" s="60" t="str">
        <f>IFERROR(VLOOKUP(AJ19,'RATE MASTER'!$A:$G,7,0)+IFERROR(VLOOKUP(AK19,'RATE MASTER'!$K$7:$M$10,3,1),0),"")</f>
        <v/>
      </c>
      <c r="AR19" s="60" t="str">
        <f>IFERROR(VLOOKUP(AL19,'RATE MASTER'!$A:$G,7,0)+IFERROR(VLOOKUP(AM19,'RATE MASTER'!$K$7:$M$10,3,1),0),"")</f>
        <v/>
      </c>
      <c r="AS19" s="61">
        <f t="shared" si="17"/>
        <v>0</v>
      </c>
      <c r="AT19" s="61">
        <f>IFERROR((AG19/1000)*R19*IF(AB19="",1,IFERROR(VLOOKUP(AB19,DEFAULTS!$M$3:$Q$6,IFERROR(MATCH($B$3,DEFAULTS!$N$2:$Q$2,0)+1,2),0),1))*(1+IF(B19="Box",$AY$3,$AY$4)),0)</f>
        <v>0</v>
      </c>
      <c r="AU19" s="61">
        <f t="shared" si="18"/>
        <v>0</v>
      </c>
      <c r="AV19" s="61">
        <f>IFERROR((AK19/1000)*R19*IF(AC19="",1,IFERROR(VLOOKUP(AC19,DEFAULTS!$M$3:$Q$6,IFERROR(MATCH($B$3,DEFAULTS!$N$2:$Q$2,0)+1,2),0),1))*(1+IF(B19="Box",$AY$3,$AY$4)),0)</f>
        <v>0</v>
      </c>
      <c r="AW19" s="61">
        <f t="shared" si="19"/>
        <v>0</v>
      </c>
      <c r="AX19" s="62">
        <f t="shared" si="4"/>
        <v>0</v>
      </c>
      <c r="AY19" s="62">
        <f t="shared" si="5"/>
        <v>0</v>
      </c>
      <c r="AZ19" s="63">
        <f t="shared" si="6"/>
        <v>0</v>
      </c>
      <c r="BA19" s="8">
        <f t="shared" si="7"/>
        <v>0</v>
      </c>
      <c r="BB19" s="8"/>
      <c r="BC19" s="8"/>
      <c r="BD19" s="8"/>
      <c r="BE19" s="8"/>
      <c r="BF19" s="8"/>
      <c r="BG19" s="8"/>
      <c r="BH19" s="8"/>
      <c r="BI19" s="8"/>
      <c r="BJ19" s="8">
        <f t="shared" si="8"/>
        <v>0</v>
      </c>
      <c r="BK19" s="8">
        <f>IFERROR(AY19*IFERROR(IF($BK$4="",VLOOKUP(E19,DEFAULTS!$S$3:$V$20,IFERROR(MATCH($B$3,DEFAULTS!$T$3:$V$3,0)+1,2),0),$BK$4),0),0)</f>
        <v>0</v>
      </c>
      <c r="BL19" s="63">
        <f t="shared" si="9"/>
        <v>0</v>
      </c>
      <c r="BM19" s="45">
        <f t="shared" si="20"/>
        <v>0.02</v>
      </c>
      <c r="BN19" s="8">
        <f t="shared" si="10"/>
        <v>0</v>
      </c>
      <c r="BO19" s="64">
        <f t="shared" si="11"/>
        <v>0</v>
      </c>
      <c r="BP19" s="8" t="str">
        <f t="shared" si="12"/>
        <v/>
      </c>
      <c r="BQ19" s="57" t="str">
        <f t="shared" si="13"/>
        <v/>
      </c>
      <c r="BR19" s="57"/>
      <c r="BS19" s="57" t="str">
        <f t="shared" si="14"/>
        <v/>
      </c>
      <c r="BT19" s="8" t="str">
        <f t="shared" si="15"/>
        <v/>
      </c>
    </row>
    <row r="20" spans="1:72" ht="15" customHeight="1" x14ac:dyDescent="0.45">
      <c r="A20" s="53" t="str">
        <f>IF(B20="","",IF(B20="Box",COUNTIF($B$7:B20,"Box"),TEXT(COUNTIF($B$7:B20,"Box"),"0")&amp;IF(B20="Plate","a",IF(B20="Part-L","b",IF(B20="Part-W","c","")))))</f>
        <v/>
      </c>
      <c r="B20" s="28"/>
      <c r="C20" s="28"/>
      <c r="D20" s="54"/>
      <c r="E20" s="54"/>
      <c r="F20" s="55" t="str">
        <f>IF(OR(B20="",B20="Box"),"",IF(B20="Plate",IFERROR(LOOKUP(2,1/(B$7:B19="Box"),F$7:F19)-5,""),""))</f>
        <v/>
      </c>
      <c r="G20" s="55" t="str">
        <f>IF(OR(B20="",B20="Box"),"",IF(B20="Plate",IFERROR(LOOKUP(2,1/(B$7:B19="Box"),G$7:G19)-5,""),IF(OR(B20="Part-L",B20="Part-W"),IFERROR(LOOKUP(2,1/(B$7:B19="Box"),H$7:H19)-15,""),"")))</f>
        <v/>
      </c>
      <c r="H20" s="28"/>
      <c r="I20" s="28"/>
      <c r="J20" s="28"/>
      <c r="K20" s="28"/>
      <c r="L20" s="56" t="str">
        <f>IFERROR(INDEX(DEFAULTS!$E:$E,MATCH(I20,DEFAULTS!$A:$A,0)),"")</f>
        <v/>
      </c>
      <c r="M20" s="56" t="str">
        <f>IFERROR(INDEX(DEFAULTS!$F:$F,MATCH(I20,DEFAULTS!$A:$A,0)),"")</f>
        <v/>
      </c>
      <c r="N20" s="56" t="str">
        <f>IFERROR(INDEX(DEFAULTS!$G:$G,MATCH(I20,DEFAULTS!$A:$A,0)),"")</f>
        <v/>
      </c>
      <c r="O20" s="56" t="str">
        <f>IFERROR(INDEX(DEFAULTS!$H:$H,MATCH(I20,DEFAULTS!$A:$A,0)),"")</f>
        <v/>
      </c>
      <c r="P20" s="57" t="str">
        <f t="shared" si="0"/>
        <v/>
      </c>
      <c r="Q20" s="57" t="str">
        <f t="shared" si="1"/>
        <v/>
      </c>
      <c r="R20" s="58" t="str">
        <f t="shared" si="2"/>
        <v/>
      </c>
      <c r="S20" s="28"/>
      <c r="T20" s="57">
        <f>IFERROR(AE20+AG20*IF(AB20="",1,IFERROR(VLOOKUP(AB20,DEFAULTS!$M$3:$Q$6,IFERROR(MATCH($B$3,DEFAULTS!$N$2:$Q$2,0)+1,2),0),1))+AI20+AK20*IF(AC20="",1,IFERROR(VLOOKUP(AC20,DEFAULTS!$M$3:$Q$6,IFERROR(MATCH($B$3,DEFAULTS!$N$2:$Q$2,0)+1,2),0),1))+AM20,"")</f>
        <v>0</v>
      </c>
      <c r="U20" s="28"/>
      <c r="V20" s="59">
        <f t="shared" si="3"/>
        <v>0</v>
      </c>
      <c r="W20" s="28"/>
      <c r="X20" s="28"/>
      <c r="Y20" s="28"/>
      <c r="Z20" s="28"/>
      <c r="AA20" s="57">
        <f t="shared" si="16"/>
        <v>0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60" t="str">
        <f>IFERROR(VLOOKUP(AD20,'RATE MASTER'!$A:$G,7,0)+IFERROR(VLOOKUP(AE20,'RATE MASTER'!$K$7:$M$10,3,1),0),"")</f>
        <v/>
      </c>
      <c r="AO20" s="60" t="str">
        <f>IFERROR(VLOOKUP(AF20,'RATE MASTER'!$A:$G,7,0)+IFERROR(VLOOKUP(AG20,'RATE MASTER'!$K$7:$M$10,3,1),0),"")</f>
        <v/>
      </c>
      <c r="AP20" s="60" t="str">
        <f>IFERROR(VLOOKUP(AH20,'RATE MASTER'!$A:$G,7,0)+IFERROR(VLOOKUP(AI20,'RATE MASTER'!$K$7:$M$10,3,1),0),"")</f>
        <v/>
      </c>
      <c r="AQ20" s="60" t="str">
        <f>IFERROR(VLOOKUP(AJ20,'RATE MASTER'!$A:$G,7,0)+IFERROR(VLOOKUP(AK20,'RATE MASTER'!$K$7:$M$10,3,1),0),"")</f>
        <v/>
      </c>
      <c r="AR20" s="60" t="str">
        <f>IFERROR(VLOOKUP(AL20,'RATE MASTER'!$A:$G,7,0)+IFERROR(VLOOKUP(AM20,'RATE MASTER'!$K$7:$M$10,3,1),0),"")</f>
        <v/>
      </c>
      <c r="AS20" s="61">
        <f t="shared" si="17"/>
        <v>0</v>
      </c>
      <c r="AT20" s="61">
        <f>IFERROR((AG20/1000)*R20*IF(AB20="",1,IFERROR(VLOOKUP(AB20,DEFAULTS!$M$3:$Q$6,IFERROR(MATCH($B$3,DEFAULTS!$N$2:$Q$2,0)+1,2),0),1))*(1+IF(B20="Box",$AY$3,$AY$4)),0)</f>
        <v>0</v>
      </c>
      <c r="AU20" s="61">
        <f t="shared" si="18"/>
        <v>0</v>
      </c>
      <c r="AV20" s="61">
        <f>IFERROR((AK20/1000)*R20*IF(AC20="",1,IFERROR(VLOOKUP(AC20,DEFAULTS!$M$3:$Q$6,IFERROR(MATCH($B$3,DEFAULTS!$N$2:$Q$2,0)+1,2),0),1))*(1+IF(B20="Box",$AY$3,$AY$4)),0)</f>
        <v>0</v>
      </c>
      <c r="AW20" s="61">
        <f t="shared" si="19"/>
        <v>0</v>
      </c>
      <c r="AX20" s="62">
        <f t="shared" si="4"/>
        <v>0</v>
      </c>
      <c r="AY20" s="62">
        <f t="shared" si="5"/>
        <v>0</v>
      </c>
      <c r="AZ20" s="63">
        <f t="shared" si="6"/>
        <v>0</v>
      </c>
      <c r="BA20" s="8">
        <f t="shared" si="7"/>
        <v>0</v>
      </c>
      <c r="BB20" s="8"/>
      <c r="BC20" s="8"/>
      <c r="BD20" s="8"/>
      <c r="BE20" s="8"/>
      <c r="BF20" s="8"/>
      <c r="BG20" s="8"/>
      <c r="BH20" s="8"/>
      <c r="BI20" s="8"/>
      <c r="BJ20" s="8">
        <f t="shared" si="8"/>
        <v>0</v>
      </c>
      <c r="BK20" s="8">
        <f>IFERROR(AY20*IFERROR(IF($BK$4="",VLOOKUP(E20,DEFAULTS!$S$3:$V$20,IFERROR(MATCH($B$3,DEFAULTS!$T$3:$V$3,0)+1,2),0),$BK$4),0),0)</f>
        <v>0</v>
      </c>
      <c r="BL20" s="63">
        <f t="shared" si="9"/>
        <v>0</v>
      </c>
      <c r="BM20" s="45">
        <f t="shared" si="20"/>
        <v>0.02</v>
      </c>
      <c r="BN20" s="8">
        <f t="shared" si="10"/>
        <v>0</v>
      </c>
      <c r="BO20" s="64">
        <f t="shared" si="11"/>
        <v>0</v>
      </c>
      <c r="BP20" s="8" t="str">
        <f t="shared" si="12"/>
        <v/>
      </c>
      <c r="BQ20" s="57" t="str">
        <f t="shared" si="13"/>
        <v/>
      </c>
      <c r="BR20" s="57"/>
      <c r="BS20" s="57" t="str">
        <f t="shared" si="14"/>
        <v/>
      </c>
      <c r="BT20" s="8" t="str">
        <f t="shared" si="15"/>
        <v/>
      </c>
    </row>
    <row r="21" spans="1:72" ht="15" customHeight="1" x14ac:dyDescent="0.45">
      <c r="A21" s="53" t="str">
        <f>IF(B21="","",IF(B21="Box",COUNTIF($B$7:B21,"Box"),TEXT(COUNTIF($B$7:B21,"Box"),"0")&amp;IF(B21="Plate","a",IF(B21="Part-L","b",IF(B21="Part-W","c","")))))</f>
        <v/>
      </c>
      <c r="B21" s="28"/>
      <c r="C21" s="28"/>
      <c r="D21" s="54"/>
      <c r="E21" s="54"/>
      <c r="F21" s="55" t="str">
        <f>IF(OR(B21="",B21="Box"),"",IF(B21="Plate",IFERROR(LOOKUP(2,1/(B$7:B20="Box"),F$7:F20)-5,""),""))</f>
        <v/>
      </c>
      <c r="G21" s="55" t="str">
        <f>IF(OR(B21="",B21="Box"),"",IF(B21="Plate",IFERROR(LOOKUP(2,1/(B$7:B20="Box"),G$7:G20)-5,""),IF(OR(B21="Part-L",B21="Part-W"),IFERROR(LOOKUP(2,1/(B$7:B20="Box"),H$7:H20)-15,""),"")))</f>
        <v/>
      </c>
      <c r="H21" s="28"/>
      <c r="I21" s="28"/>
      <c r="J21" s="28"/>
      <c r="K21" s="28"/>
      <c r="L21" s="56" t="str">
        <f>IFERROR(INDEX(DEFAULTS!$E:$E,MATCH(I21,DEFAULTS!$A:$A,0)),"")</f>
        <v/>
      </c>
      <c r="M21" s="56" t="str">
        <f>IFERROR(INDEX(DEFAULTS!$F:$F,MATCH(I21,DEFAULTS!$A:$A,0)),"")</f>
        <v/>
      </c>
      <c r="N21" s="56" t="str">
        <f>IFERROR(INDEX(DEFAULTS!$G:$G,MATCH(I21,DEFAULTS!$A:$A,0)),"")</f>
        <v/>
      </c>
      <c r="O21" s="56" t="str">
        <f>IFERROR(INDEX(DEFAULTS!$H:$H,MATCH(I21,DEFAULTS!$A:$A,0)),"")</f>
        <v/>
      </c>
      <c r="P21" s="57" t="str">
        <f t="shared" si="0"/>
        <v/>
      </c>
      <c r="Q21" s="57" t="str">
        <f t="shared" si="1"/>
        <v/>
      </c>
      <c r="R21" s="58" t="str">
        <f t="shared" si="2"/>
        <v/>
      </c>
      <c r="S21" s="28"/>
      <c r="T21" s="57">
        <f>IFERROR(AE21+AG21*IF(AB21="",1,IFERROR(VLOOKUP(AB21,DEFAULTS!$M$3:$Q$6,IFERROR(MATCH($B$3,DEFAULTS!$N$2:$Q$2,0)+1,2),0),1))+AI21+AK21*IF(AC21="",1,IFERROR(VLOOKUP(AC21,DEFAULTS!$M$3:$Q$6,IFERROR(MATCH($B$3,DEFAULTS!$N$2:$Q$2,0)+1,2),0),1))+AM21,"")</f>
        <v>0</v>
      </c>
      <c r="U21" s="28"/>
      <c r="V21" s="59">
        <f t="shared" si="3"/>
        <v>0</v>
      </c>
      <c r="W21" s="28"/>
      <c r="X21" s="28"/>
      <c r="Y21" s="28"/>
      <c r="Z21" s="28"/>
      <c r="AA21" s="57">
        <f t="shared" si="16"/>
        <v>0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60" t="str">
        <f>IFERROR(VLOOKUP(AD21,'RATE MASTER'!$A:$G,7,0)+IFERROR(VLOOKUP(AE21,'RATE MASTER'!$K$7:$M$10,3,1),0),"")</f>
        <v/>
      </c>
      <c r="AO21" s="60" t="str">
        <f>IFERROR(VLOOKUP(AF21,'RATE MASTER'!$A:$G,7,0)+IFERROR(VLOOKUP(AG21,'RATE MASTER'!$K$7:$M$10,3,1),0),"")</f>
        <v/>
      </c>
      <c r="AP21" s="60" t="str">
        <f>IFERROR(VLOOKUP(AH21,'RATE MASTER'!$A:$G,7,0)+IFERROR(VLOOKUP(AI21,'RATE MASTER'!$K$7:$M$10,3,1),0),"")</f>
        <v/>
      </c>
      <c r="AQ21" s="60" t="str">
        <f>IFERROR(VLOOKUP(AJ21,'RATE MASTER'!$A:$G,7,0)+IFERROR(VLOOKUP(AK21,'RATE MASTER'!$K$7:$M$10,3,1),0),"")</f>
        <v/>
      </c>
      <c r="AR21" s="60" t="str">
        <f>IFERROR(VLOOKUP(AL21,'RATE MASTER'!$A:$G,7,0)+IFERROR(VLOOKUP(AM21,'RATE MASTER'!$K$7:$M$10,3,1),0),"")</f>
        <v/>
      </c>
      <c r="AS21" s="61">
        <f t="shared" si="17"/>
        <v>0</v>
      </c>
      <c r="AT21" s="61">
        <f>IFERROR((AG21/1000)*R21*IF(AB21="",1,IFERROR(VLOOKUP(AB21,DEFAULTS!$M$3:$Q$6,IFERROR(MATCH($B$3,DEFAULTS!$N$2:$Q$2,0)+1,2),0),1))*(1+IF(B21="Box",$AY$3,$AY$4)),0)</f>
        <v>0</v>
      </c>
      <c r="AU21" s="61">
        <f t="shared" si="18"/>
        <v>0</v>
      </c>
      <c r="AV21" s="61">
        <f>IFERROR((AK21/1000)*R21*IF(AC21="",1,IFERROR(VLOOKUP(AC21,DEFAULTS!$M$3:$Q$6,IFERROR(MATCH($B$3,DEFAULTS!$N$2:$Q$2,0)+1,2),0),1))*(1+IF(B21="Box",$AY$3,$AY$4)),0)</f>
        <v>0</v>
      </c>
      <c r="AW21" s="61">
        <f t="shared" si="19"/>
        <v>0</v>
      </c>
      <c r="AX21" s="62">
        <f t="shared" si="4"/>
        <v>0</v>
      </c>
      <c r="AY21" s="62">
        <f t="shared" si="5"/>
        <v>0</v>
      </c>
      <c r="AZ21" s="63">
        <f t="shared" si="6"/>
        <v>0</v>
      </c>
      <c r="BA21" s="8">
        <f t="shared" si="7"/>
        <v>0</v>
      </c>
      <c r="BB21" s="8"/>
      <c r="BC21" s="8"/>
      <c r="BD21" s="8"/>
      <c r="BE21" s="8"/>
      <c r="BF21" s="8"/>
      <c r="BG21" s="8"/>
      <c r="BH21" s="8"/>
      <c r="BI21" s="8"/>
      <c r="BJ21" s="8">
        <f t="shared" si="8"/>
        <v>0</v>
      </c>
      <c r="BK21" s="8">
        <f>IFERROR(AY21*IFERROR(IF($BK$4="",VLOOKUP(E21,DEFAULTS!$S$3:$V$20,IFERROR(MATCH($B$3,DEFAULTS!$T$3:$V$3,0)+1,2),0),$BK$4),0),0)</f>
        <v>0</v>
      </c>
      <c r="BL21" s="63">
        <f t="shared" si="9"/>
        <v>0</v>
      </c>
      <c r="BM21" s="45">
        <f t="shared" si="20"/>
        <v>0.02</v>
      </c>
      <c r="BN21" s="8">
        <f t="shared" si="10"/>
        <v>0</v>
      </c>
      <c r="BO21" s="64">
        <f t="shared" si="11"/>
        <v>0</v>
      </c>
      <c r="BP21" s="8" t="str">
        <f t="shared" si="12"/>
        <v/>
      </c>
      <c r="BQ21" s="57" t="str">
        <f t="shared" si="13"/>
        <v/>
      </c>
      <c r="BR21" s="57"/>
      <c r="BS21" s="57" t="str">
        <f t="shared" si="14"/>
        <v/>
      </c>
      <c r="BT21" s="8" t="str">
        <f t="shared" si="15"/>
        <v/>
      </c>
    </row>
    <row r="22" spans="1:72" ht="15" customHeight="1" x14ac:dyDescent="0.45">
      <c r="A22" s="53" t="str">
        <f>IF(B22="","",IF(B22="Box",COUNTIF($B$7:B22,"Box"),TEXT(COUNTIF($B$7:B22,"Box"),"0")&amp;IF(B22="Plate","a",IF(B22="Part-L","b",IF(B22="Part-W","c","")))))</f>
        <v/>
      </c>
      <c r="B22" s="28"/>
      <c r="C22" s="28"/>
      <c r="D22" s="54"/>
      <c r="E22" s="54"/>
      <c r="F22" s="55" t="str">
        <f>IF(OR(B22="",B22="Box"),"",IF(B22="Plate",IFERROR(LOOKUP(2,1/(B$7:B21="Box"),F$7:F21)-5,""),""))</f>
        <v/>
      </c>
      <c r="G22" s="55" t="str">
        <f>IF(OR(B22="",B22="Box"),"",IF(B22="Plate",IFERROR(LOOKUP(2,1/(B$7:B21="Box"),G$7:G21)-5,""),IF(OR(B22="Part-L",B22="Part-W"),IFERROR(LOOKUP(2,1/(B$7:B21="Box"),H$7:H21)-15,""),"")))</f>
        <v/>
      </c>
      <c r="H22" s="28"/>
      <c r="I22" s="28"/>
      <c r="J22" s="28"/>
      <c r="K22" s="28"/>
      <c r="L22" s="56" t="str">
        <f>IFERROR(INDEX(DEFAULTS!$E:$E,MATCH(I22,DEFAULTS!$A:$A,0)),"")</f>
        <v/>
      </c>
      <c r="M22" s="56" t="str">
        <f>IFERROR(INDEX(DEFAULTS!$F:$F,MATCH(I22,DEFAULTS!$A:$A,0)),"")</f>
        <v/>
      </c>
      <c r="N22" s="56" t="str">
        <f>IFERROR(INDEX(DEFAULTS!$G:$G,MATCH(I22,DEFAULTS!$A:$A,0)),"")</f>
        <v/>
      </c>
      <c r="O22" s="56" t="str">
        <f>IFERROR(INDEX(DEFAULTS!$H:$H,MATCH(I22,DEFAULTS!$A:$A,0)),"")</f>
        <v/>
      </c>
      <c r="P22" s="57" t="str">
        <f t="shared" si="0"/>
        <v/>
      </c>
      <c r="Q22" s="57" t="str">
        <f t="shared" si="1"/>
        <v/>
      </c>
      <c r="R22" s="58" t="str">
        <f t="shared" si="2"/>
        <v/>
      </c>
      <c r="S22" s="28"/>
      <c r="T22" s="57">
        <f>IFERROR(AE22+AG22*IF(AB22="",1,IFERROR(VLOOKUP(AB22,DEFAULTS!$M$3:$Q$6,IFERROR(MATCH($B$3,DEFAULTS!$N$2:$Q$2,0)+1,2),0),1))+AI22+AK22*IF(AC22="",1,IFERROR(VLOOKUP(AC22,DEFAULTS!$M$3:$Q$6,IFERROR(MATCH($B$3,DEFAULTS!$N$2:$Q$2,0)+1,2),0),1))+AM22,"")</f>
        <v>0</v>
      </c>
      <c r="U22" s="28"/>
      <c r="V22" s="59">
        <f t="shared" si="3"/>
        <v>0</v>
      </c>
      <c r="W22" s="28"/>
      <c r="X22" s="28"/>
      <c r="Y22" s="28"/>
      <c r="Z22" s="28"/>
      <c r="AA22" s="57">
        <f t="shared" si="16"/>
        <v>0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60" t="str">
        <f>IFERROR(VLOOKUP(AD22,'RATE MASTER'!$A:$G,7,0)+IFERROR(VLOOKUP(AE22,'RATE MASTER'!$K$7:$M$10,3,1),0),"")</f>
        <v/>
      </c>
      <c r="AO22" s="60" t="str">
        <f>IFERROR(VLOOKUP(AF22,'RATE MASTER'!$A:$G,7,0)+IFERROR(VLOOKUP(AG22,'RATE MASTER'!$K$7:$M$10,3,1),0),"")</f>
        <v/>
      </c>
      <c r="AP22" s="60" t="str">
        <f>IFERROR(VLOOKUP(AH22,'RATE MASTER'!$A:$G,7,0)+IFERROR(VLOOKUP(AI22,'RATE MASTER'!$K$7:$M$10,3,1),0),"")</f>
        <v/>
      </c>
      <c r="AQ22" s="60" t="str">
        <f>IFERROR(VLOOKUP(AJ22,'RATE MASTER'!$A:$G,7,0)+IFERROR(VLOOKUP(AK22,'RATE MASTER'!$K$7:$M$10,3,1),0),"")</f>
        <v/>
      </c>
      <c r="AR22" s="60" t="str">
        <f>IFERROR(VLOOKUP(AL22,'RATE MASTER'!$A:$G,7,0)+IFERROR(VLOOKUP(AM22,'RATE MASTER'!$K$7:$M$10,3,1),0),"")</f>
        <v/>
      </c>
      <c r="AS22" s="61">
        <f t="shared" si="17"/>
        <v>0</v>
      </c>
      <c r="AT22" s="61">
        <f>IFERROR((AG22/1000)*R22*IF(AB22="",1,IFERROR(VLOOKUP(AB22,DEFAULTS!$M$3:$Q$6,IFERROR(MATCH($B$3,DEFAULTS!$N$2:$Q$2,0)+1,2),0),1))*(1+IF(B22="Box",$AY$3,$AY$4)),0)</f>
        <v>0</v>
      </c>
      <c r="AU22" s="61">
        <f t="shared" si="18"/>
        <v>0</v>
      </c>
      <c r="AV22" s="61">
        <f>IFERROR((AK22/1000)*R22*IF(AC22="",1,IFERROR(VLOOKUP(AC22,DEFAULTS!$M$3:$Q$6,IFERROR(MATCH($B$3,DEFAULTS!$N$2:$Q$2,0)+1,2),0),1))*(1+IF(B22="Box",$AY$3,$AY$4)),0)</f>
        <v>0</v>
      </c>
      <c r="AW22" s="61">
        <f t="shared" si="19"/>
        <v>0</v>
      </c>
      <c r="AX22" s="62">
        <f t="shared" si="4"/>
        <v>0</v>
      </c>
      <c r="AY22" s="62">
        <f t="shared" si="5"/>
        <v>0</v>
      </c>
      <c r="AZ22" s="63">
        <f t="shared" si="6"/>
        <v>0</v>
      </c>
      <c r="BA22" s="8">
        <f t="shared" si="7"/>
        <v>0</v>
      </c>
      <c r="BB22" s="8"/>
      <c r="BC22" s="8"/>
      <c r="BD22" s="8"/>
      <c r="BE22" s="8"/>
      <c r="BF22" s="8"/>
      <c r="BG22" s="8"/>
      <c r="BH22" s="8"/>
      <c r="BI22" s="8"/>
      <c r="BJ22" s="8">
        <f t="shared" si="8"/>
        <v>0</v>
      </c>
      <c r="BK22" s="8">
        <f>IFERROR(AY22*IFERROR(IF($BK$4="",VLOOKUP(E22,DEFAULTS!$S$3:$V$20,IFERROR(MATCH($B$3,DEFAULTS!$T$3:$V$3,0)+1,2),0),$BK$4),0),0)</f>
        <v>0</v>
      </c>
      <c r="BL22" s="63">
        <f t="shared" si="9"/>
        <v>0</v>
      </c>
      <c r="BM22" s="45">
        <f t="shared" si="20"/>
        <v>0.02</v>
      </c>
      <c r="BN22" s="8">
        <f t="shared" si="10"/>
        <v>0</v>
      </c>
      <c r="BO22" s="64">
        <f t="shared" si="11"/>
        <v>0</v>
      </c>
      <c r="BP22" s="8" t="str">
        <f t="shared" si="12"/>
        <v/>
      </c>
      <c r="BQ22" s="57" t="str">
        <f t="shared" si="13"/>
        <v/>
      </c>
      <c r="BR22" s="57"/>
      <c r="BS22" s="57" t="str">
        <f t="shared" si="14"/>
        <v/>
      </c>
      <c r="BT22" s="8" t="str">
        <f t="shared" si="15"/>
        <v/>
      </c>
    </row>
    <row r="23" spans="1:72" ht="15" customHeight="1" x14ac:dyDescent="0.45">
      <c r="A23" s="53" t="str">
        <f>IF(B23="","",IF(B23="Box",COUNTIF($B$7:B23,"Box"),TEXT(COUNTIF($B$7:B23,"Box"),"0")&amp;IF(B23="Plate","a",IF(B23="Part-L","b",IF(B23="Part-W","c","")))))</f>
        <v/>
      </c>
      <c r="B23" s="28"/>
      <c r="C23" s="28"/>
      <c r="D23" s="54"/>
      <c r="E23" s="54"/>
      <c r="F23" s="55" t="str">
        <f>IF(OR(B23="",B23="Box"),"",IF(B23="Plate",IFERROR(LOOKUP(2,1/(B$7:B22="Box"),F$7:F22)-5,""),""))</f>
        <v/>
      </c>
      <c r="G23" s="55" t="str">
        <f>IF(OR(B23="",B23="Box"),"",IF(B23="Plate",IFERROR(LOOKUP(2,1/(B$7:B22="Box"),G$7:G22)-5,""),IF(OR(B23="Part-L",B23="Part-W"),IFERROR(LOOKUP(2,1/(B$7:B22="Box"),H$7:H22)-15,""),"")))</f>
        <v/>
      </c>
      <c r="H23" s="28"/>
      <c r="I23" s="28"/>
      <c r="J23" s="28"/>
      <c r="K23" s="28"/>
      <c r="L23" s="56" t="str">
        <f>IFERROR(INDEX(DEFAULTS!$E:$E,MATCH(I23,DEFAULTS!$A:$A,0)),"")</f>
        <v/>
      </c>
      <c r="M23" s="56" t="str">
        <f>IFERROR(INDEX(DEFAULTS!$F:$F,MATCH(I23,DEFAULTS!$A:$A,0)),"")</f>
        <v/>
      </c>
      <c r="N23" s="56" t="str">
        <f>IFERROR(INDEX(DEFAULTS!$G:$G,MATCH(I23,DEFAULTS!$A:$A,0)),"")</f>
        <v/>
      </c>
      <c r="O23" s="56" t="str">
        <f>IFERROR(INDEX(DEFAULTS!$H:$H,MATCH(I23,DEFAULTS!$A:$A,0)),"")</f>
        <v/>
      </c>
      <c r="P23" s="57" t="str">
        <f t="shared" si="0"/>
        <v/>
      </c>
      <c r="Q23" s="57" t="str">
        <f t="shared" si="1"/>
        <v/>
      </c>
      <c r="R23" s="58" t="str">
        <f t="shared" si="2"/>
        <v/>
      </c>
      <c r="S23" s="28"/>
      <c r="T23" s="57">
        <f>IFERROR(AE23+AG23*IF(AB23="",1,IFERROR(VLOOKUP(AB23,DEFAULTS!$M$3:$Q$6,IFERROR(MATCH($B$3,DEFAULTS!$N$2:$Q$2,0)+1,2),0),1))+AI23+AK23*IF(AC23="",1,IFERROR(VLOOKUP(AC23,DEFAULTS!$M$3:$Q$6,IFERROR(MATCH($B$3,DEFAULTS!$N$2:$Q$2,0)+1,2),0),1))+AM23,"")</f>
        <v>0</v>
      </c>
      <c r="U23" s="28"/>
      <c r="V23" s="59">
        <f t="shared" si="3"/>
        <v>0</v>
      </c>
      <c r="W23" s="28"/>
      <c r="X23" s="28"/>
      <c r="Y23" s="28"/>
      <c r="Z23" s="28"/>
      <c r="AA23" s="57">
        <f t="shared" si="16"/>
        <v>0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60" t="str">
        <f>IFERROR(VLOOKUP(AD23,'RATE MASTER'!$A:$G,7,0)+IFERROR(VLOOKUP(AE23,'RATE MASTER'!$K$7:$M$10,3,1),0),"")</f>
        <v/>
      </c>
      <c r="AO23" s="60" t="str">
        <f>IFERROR(VLOOKUP(AF23,'RATE MASTER'!$A:$G,7,0)+IFERROR(VLOOKUP(AG23,'RATE MASTER'!$K$7:$M$10,3,1),0),"")</f>
        <v/>
      </c>
      <c r="AP23" s="60" t="str">
        <f>IFERROR(VLOOKUP(AH23,'RATE MASTER'!$A:$G,7,0)+IFERROR(VLOOKUP(AI23,'RATE MASTER'!$K$7:$M$10,3,1),0),"")</f>
        <v/>
      </c>
      <c r="AQ23" s="60" t="str">
        <f>IFERROR(VLOOKUP(AJ23,'RATE MASTER'!$A:$G,7,0)+IFERROR(VLOOKUP(AK23,'RATE MASTER'!$K$7:$M$10,3,1),0),"")</f>
        <v/>
      </c>
      <c r="AR23" s="60" t="str">
        <f>IFERROR(VLOOKUP(AL23,'RATE MASTER'!$A:$G,7,0)+IFERROR(VLOOKUP(AM23,'RATE MASTER'!$K$7:$M$10,3,1),0),"")</f>
        <v/>
      </c>
      <c r="AS23" s="61">
        <f t="shared" si="17"/>
        <v>0</v>
      </c>
      <c r="AT23" s="61">
        <f>IFERROR((AG23/1000)*R23*IF(AB23="",1,IFERROR(VLOOKUP(AB23,DEFAULTS!$M$3:$Q$6,IFERROR(MATCH($B$3,DEFAULTS!$N$2:$Q$2,0)+1,2),0),1))*(1+IF(B23="Box",$AY$3,$AY$4)),0)</f>
        <v>0</v>
      </c>
      <c r="AU23" s="61">
        <f t="shared" si="18"/>
        <v>0</v>
      </c>
      <c r="AV23" s="61">
        <f>IFERROR((AK23/1000)*R23*IF(AC23="",1,IFERROR(VLOOKUP(AC23,DEFAULTS!$M$3:$Q$6,IFERROR(MATCH($B$3,DEFAULTS!$N$2:$Q$2,0)+1,2),0),1))*(1+IF(B23="Box",$AY$3,$AY$4)),0)</f>
        <v>0</v>
      </c>
      <c r="AW23" s="61">
        <f t="shared" si="19"/>
        <v>0</v>
      </c>
      <c r="AX23" s="62">
        <f t="shared" si="4"/>
        <v>0</v>
      </c>
      <c r="AY23" s="62">
        <f t="shared" si="5"/>
        <v>0</v>
      </c>
      <c r="AZ23" s="63">
        <f t="shared" si="6"/>
        <v>0</v>
      </c>
      <c r="BA23" s="8">
        <f t="shared" si="7"/>
        <v>0</v>
      </c>
      <c r="BB23" s="8"/>
      <c r="BC23" s="8"/>
      <c r="BD23" s="8"/>
      <c r="BE23" s="8"/>
      <c r="BF23" s="8"/>
      <c r="BG23" s="8"/>
      <c r="BH23" s="8"/>
      <c r="BI23" s="8"/>
      <c r="BJ23" s="8">
        <f t="shared" si="8"/>
        <v>0</v>
      </c>
      <c r="BK23" s="8">
        <f>IFERROR(AY23*IFERROR(IF($BK$4="",VLOOKUP(E23,DEFAULTS!$S$3:$V$20,IFERROR(MATCH($B$3,DEFAULTS!$T$3:$V$3,0)+1,2),0),$BK$4),0),0)</f>
        <v>0</v>
      </c>
      <c r="BL23" s="63">
        <f t="shared" si="9"/>
        <v>0</v>
      </c>
      <c r="BM23" s="45">
        <f t="shared" si="20"/>
        <v>0.02</v>
      </c>
      <c r="BN23" s="8">
        <f t="shared" si="10"/>
        <v>0</v>
      </c>
      <c r="BO23" s="64">
        <f t="shared" si="11"/>
        <v>0</v>
      </c>
      <c r="BP23" s="8" t="str">
        <f t="shared" si="12"/>
        <v/>
      </c>
      <c r="BQ23" s="57" t="str">
        <f t="shared" si="13"/>
        <v/>
      </c>
      <c r="BR23" s="57"/>
      <c r="BS23" s="57" t="str">
        <f t="shared" si="14"/>
        <v/>
      </c>
      <c r="BT23" s="8" t="str">
        <f t="shared" si="15"/>
        <v/>
      </c>
    </row>
    <row r="24" spans="1:72" ht="15" customHeight="1" x14ac:dyDescent="0.45">
      <c r="A24" s="53" t="str">
        <f>IF(B24="","",IF(B24="Box",COUNTIF($B$7:B24,"Box"),TEXT(COUNTIF($B$7:B24,"Box"),"0")&amp;IF(B24="Plate","a",IF(B24="Part-L","b",IF(B24="Part-W","c","")))))</f>
        <v/>
      </c>
      <c r="B24" s="28"/>
      <c r="C24" s="28"/>
      <c r="D24" s="54"/>
      <c r="E24" s="54"/>
      <c r="F24" s="55" t="str">
        <f>IF(OR(B24="",B24="Box"),"",IF(B24="Plate",IFERROR(LOOKUP(2,1/(B$7:B23="Box"),F$7:F23)-5,""),""))</f>
        <v/>
      </c>
      <c r="G24" s="55" t="str">
        <f>IF(OR(B24="",B24="Box"),"",IF(B24="Plate",IFERROR(LOOKUP(2,1/(B$7:B23="Box"),G$7:G23)-5,""),IF(OR(B24="Part-L",B24="Part-W"),IFERROR(LOOKUP(2,1/(B$7:B23="Box"),H$7:H23)-15,""),"")))</f>
        <v/>
      </c>
      <c r="H24" s="28"/>
      <c r="I24" s="28"/>
      <c r="J24" s="28"/>
      <c r="K24" s="28"/>
      <c r="L24" s="56" t="str">
        <f>IFERROR(INDEX(DEFAULTS!$E:$E,MATCH(I24,DEFAULTS!$A:$A,0)),"")</f>
        <v/>
      </c>
      <c r="M24" s="56" t="str">
        <f>IFERROR(INDEX(DEFAULTS!$F:$F,MATCH(I24,DEFAULTS!$A:$A,0)),"")</f>
        <v/>
      </c>
      <c r="N24" s="56" t="str">
        <f>IFERROR(INDEX(DEFAULTS!$G:$G,MATCH(I24,DEFAULTS!$A:$A,0)),"")</f>
        <v/>
      </c>
      <c r="O24" s="56" t="str">
        <f>IFERROR(INDEX(DEFAULTS!$H:$H,MATCH(I24,DEFAULTS!$A:$A,0)),"")</f>
        <v/>
      </c>
      <c r="P24" s="57" t="str">
        <f t="shared" si="0"/>
        <v/>
      </c>
      <c r="Q24" s="57" t="str">
        <f t="shared" si="1"/>
        <v/>
      </c>
      <c r="R24" s="58" t="str">
        <f t="shared" si="2"/>
        <v/>
      </c>
      <c r="S24" s="28"/>
      <c r="T24" s="57">
        <f>IFERROR(AE24+AG24*IF(AB24="",1,IFERROR(VLOOKUP(AB24,DEFAULTS!$M$3:$Q$6,IFERROR(MATCH($B$3,DEFAULTS!$N$2:$Q$2,0)+1,2),0),1))+AI24+AK24*IF(AC24="",1,IFERROR(VLOOKUP(AC24,DEFAULTS!$M$3:$Q$6,IFERROR(MATCH($B$3,DEFAULTS!$N$2:$Q$2,0)+1,2),0),1))+AM24,"")</f>
        <v>0</v>
      </c>
      <c r="U24" s="28"/>
      <c r="V24" s="59">
        <f t="shared" si="3"/>
        <v>0</v>
      </c>
      <c r="W24" s="28"/>
      <c r="X24" s="28"/>
      <c r="Y24" s="28"/>
      <c r="Z24" s="28"/>
      <c r="AA24" s="57">
        <f t="shared" si="16"/>
        <v>0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60" t="str">
        <f>IFERROR(VLOOKUP(AD24,'RATE MASTER'!$A:$G,7,0)+IFERROR(VLOOKUP(AE24,'RATE MASTER'!$K$7:$M$10,3,1),0),"")</f>
        <v/>
      </c>
      <c r="AO24" s="60" t="str">
        <f>IFERROR(VLOOKUP(AF24,'RATE MASTER'!$A:$G,7,0)+IFERROR(VLOOKUP(AG24,'RATE MASTER'!$K$7:$M$10,3,1),0),"")</f>
        <v/>
      </c>
      <c r="AP24" s="60" t="str">
        <f>IFERROR(VLOOKUP(AH24,'RATE MASTER'!$A:$G,7,0)+IFERROR(VLOOKUP(AI24,'RATE MASTER'!$K$7:$M$10,3,1),0),"")</f>
        <v/>
      </c>
      <c r="AQ24" s="60" t="str">
        <f>IFERROR(VLOOKUP(AJ24,'RATE MASTER'!$A:$G,7,0)+IFERROR(VLOOKUP(AK24,'RATE MASTER'!$K$7:$M$10,3,1),0),"")</f>
        <v/>
      </c>
      <c r="AR24" s="60" t="str">
        <f>IFERROR(VLOOKUP(AL24,'RATE MASTER'!$A:$G,7,0)+IFERROR(VLOOKUP(AM24,'RATE MASTER'!$K$7:$M$10,3,1),0),"")</f>
        <v/>
      </c>
      <c r="AS24" s="61">
        <f t="shared" si="17"/>
        <v>0</v>
      </c>
      <c r="AT24" s="61">
        <f>IFERROR((AG24/1000)*R24*IF(AB24="",1,IFERROR(VLOOKUP(AB24,DEFAULTS!$M$3:$Q$6,IFERROR(MATCH($B$3,DEFAULTS!$N$2:$Q$2,0)+1,2),0),1))*(1+IF(B24="Box",$AY$3,$AY$4)),0)</f>
        <v>0</v>
      </c>
      <c r="AU24" s="61">
        <f t="shared" si="18"/>
        <v>0</v>
      </c>
      <c r="AV24" s="61">
        <f>IFERROR((AK24/1000)*R24*IF(AC24="",1,IFERROR(VLOOKUP(AC24,DEFAULTS!$M$3:$Q$6,IFERROR(MATCH($B$3,DEFAULTS!$N$2:$Q$2,0)+1,2),0),1))*(1+IF(B24="Box",$AY$3,$AY$4)),0)</f>
        <v>0</v>
      </c>
      <c r="AW24" s="61">
        <f t="shared" si="19"/>
        <v>0</v>
      </c>
      <c r="AX24" s="62">
        <f t="shared" si="4"/>
        <v>0</v>
      </c>
      <c r="AY24" s="62">
        <f t="shared" si="5"/>
        <v>0</v>
      </c>
      <c r="AZ24" s="63">
        <f t="shared" si="6"/>
        <v>0</v>
      </c>
      <c r="BA24" s="8">
        <f t="shared" si="7"/>
        <v>0</v>
      </c>
      <c r="BB24" s="8"/>
      <c r="BC24" s="8"/>
      <c r="BD24" s="8"/>
      <c r="BE24" s="8"/>
      <c r="BF24" s="8"/>
      <c r="BG24" s="8"/>
      <c r="BH24" s="8"/>
      <c r="BI24" s="8"/>
      <c r="BJ24" s="8">
        <f t="shared" si="8"/>
        <v>0</v>
      </c>
      <c r="BK24" s="8">
        <f>IFERROR(AY24*IFERROR(IF($BK$4="",VLOOKUP(E24,DEFAULTS!$S$3:$V$20,IFERROR(MATCH($B$3,DEFAULTS!$T$3:$V$3,0)+1,2),0),$BK$4),0),0)</f>
        <v>0</v>
      </c>
      <c r="BL24" s="63">
        <f t="shared" si="9"/>
        <v>0</v>
      </c>
      <c r="BM24" s="45">
        <f t="shared" si="20"/>
        <v>0.02</v>
      </c>
      <c r="BN24" s="8">
        <f t="shared" si="10"/>
        <v>0</v>
      </c>
      <c r="BO24" s="64">
        <f t="shared" si="11"/>
        <v>0</v>
      </c>
      <c r="BP24" s="8" t="str">
        <f t="shared" si="12"/>
        <v/>
      </c>
      <c r="BQ24" s="57" t="str">
        <f t="shared" si="13"/>
        <v/>
      </c>
      <c r="BR24" s="57"/>
      <c r="BS24" s="57" t="str">
        <f t="shared" si="14"/>
        <v/>
      </c>
      <c r="BT24" s="8" t="str">
        <f t="shared" si="15"/>
        <v/>
      </c>
    </row>
    <row r="25" spans="1:72" ht="15" customHeight="1" x14ac:dyDescent="0.45">
      <c r="A25" s="53" t="str">
        <f>IF(B25="","",IF(B25="Box",COUNTIF($B$7:B25,"Box"),TEXT(COUNTIF($B$7:B25,"Box"),"0")&amp;IF(B25="Plate","a",IF(B25="Part-L","b",IF(B25="Part-W","c","")))))</f>
        <v/>
      </c>
      <c r="B25" s="28"/>
      <c r="C25" s="28"/>
      <c r="D25" s="54"/>
      <c r="E25" s="54"/>
      <c r="F25" s="55" t="str">
        <f>IF(OR(B25="",B25="Box"),"",IF(B25="Plate",IFERROR(LOOKUP(2,1/(B$7:B24="Box"),F$7:F24)-5,""),""))</f>
        <v/>
      </c>
      <c r="G25" s="55" t="str">
        <f>IF(OR(B25="",B25="Box"),"",IF(B25="Plate",IFERROR(LOOKUP(2,1/(B$7:B24="Box"),G$7:G24)-5,""),IF(OR(B25="Part-L",B25="Part-W"),IFERROR(LOOKUP(2,1/(B$7:B24="Box"),H$7:H24)-15,""),"")))</f>
        <v/>
      </c>
      <c r="H25" s="28"/>
      <c r="I25" s="28"/>
      <c r="J25" s="28"/>
      <c r="K25" s="28"/>
      <c r="L25" s="56" t="str">
        <f>IFERROR(INDEX(DEFAULTS!$E:$E,MATCH(I25,DEFAULTS!$A:$A,0)),"")</f>
        <v/>
      </c>
      <c r="M25" s="56" t="str">
        <f>IFERROR(INDEX(DEFAULTS!$F:$F,MATCH(I25,DEFAULTS!$A:$A,0)),"")</f>
        <v/>
      </c>
      <c r="N25" s="56" t="str">
        <f>IFERROR(INDEX(DEFAULTS!$G:$G,MATCH(I25,DEFAULTS!$A:$A,0)),"")</f>
        <v/>
      </c>
      <c r="O25" s="56" t="str">
        <f>IFERROR(INDEX(DEFAULTS!$H:$H,MATCH(I25,DEFAULTS!$A:$A,0)),"")</f>
        <v/>
      </c>
      <c r="P25" s="57" t="str">
        <f t="shared" si="0"/>
        <v/>
      </c>
      <c r="Q25" s="57" t="str">
        <f t="shared" si="1"/>
        <v/>
      </c>
      <c r="R25" s="58" t="str">
        <f t="shared" si="2"/>
        <v/>
      </c>
      <c r="S25" s="28"/>
      <c r="T25" s="57">
        <f>IFERROR(AE25+AG25*IF(AB25="",1,IFERROR(VLOOKUP(AB25,DEFAULTS!$M$3:$Q$6,IFERROR(MATCH($B$3,DEFAULTS!$N$2:$Q$2,0)+1,2),0),1))+AI25+AK25*IF(AC25="",1,IFERROR(VLOOKUP(AC25,DEFAULTS!$M$3:$Q$6,IFERROR(MATCH($B$3,DEFAULTS!$N$2:$Q$2,0)+1,2),0),1))+AM25,"")</f>
        <v>0</v>
      </c>
      <c r="U25" s="28"/>
      <c r="V25" s="59">
        <f t="shared" si="3"/>
        <v>0</v>
      </c>
      <c r="W25" s="28"/>
      <c r="X25" s="28"/>
      <c r="Y25" s="28"/>
      <c r="Z25" s="28"/>
      <c r="AA25" s="57">
        <f t="shared" si="16"/>
        <v>0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60" t="str">
        <f>IFERROR(VLOOKUP(AD25,'RATE MASTER'!$A:$G,7,0)+IFERROR(VLOOKUP(AE25,'RATE MASTER'!$K$7:$M$10,3,1),0),"")</f>
        <v/>
      </c>
      <c r="AO25" s="60" t="str">
        <f>IFERROR(VLOOKUP(AF25,'RATE MASTER'!$A:$G,7,0)+IFERROR(VLOOKUP(AG25,'RATE MASTER'!$K$7:$M$10,3,1),0),"")</f>
        <v/>
      </c>
      <c r="AP25" s="60" t="str">
        <f>IFERROR(VLOOKUP(AH25,'RATE MASTER'!$A:$G,7,0)+IFERROR(VLOOKUP(AI25,'RATE MASTER'!$K$7:$M$10,3,1),0),"")</f>
        <v/>
      </c>
      <c r="AQ25" s="60" t="str">
        <f>IFERROR(VLOOKUP(AJ25,'RATE MASTER'!$A:$G,7,0)+IFERROR(VLOOKUP(AK25,'RATE MASTER'!$K$7:$M$10,3,1),0),"")</f>
        <v/>
      </c>
      <c r="AR25" s="60" t="str">
        <f>IFERROR(VLOOKUP(AL25,'RATE MASTER'!$A:$G,7,0)+IFERROR(VLOOKUP(AM25,'RATE MASTER'!$K$7:$M$10,3,1),0),"")</f>
        <v/>
      </c>
      <c r="AS25" s="61">
        <f t="shared" si="17"/>
        <v>0</v>
      </c>
      <c r="AT25" s="61">
        <f>IFERROR((AG25/1000)*R25*IF(AB25="",1,IFERROR(VLOOKUP(AB25,DEFAULTS!$M$3:$Q$6,IFERROR(MATCH($B$3,DEFAULTS!$N$2:$Q$2,0)+1,2),0),1))*(1+IF(B25="Box",$AY$3,$AY$4)),0)</f>
        <v>0</v>
      </c>
      <c r="AU25" s="61">
        <f t="shared" si="18"/>
        <v>0</v>
      </c>
      <c r="AV25" s="61">
        <f>IFERROR((AK25/1000)*R25*IF(AC25="",1,IFERROR(VLOOKUP(AC25,DEFAULTS!$M$3:$Q$6,IFERROR(MATCH($B$3,DEFAULTS!$N$2:$Q$2,0)+1,2),0),1))*(1+IF(B25="Box",$AY$3,$AY$4)),0)</f>
        <v>0</v>
      </c>
      <c r="AW25" s="61">
        <f t="shared" si="19"/>
        <v>0</v>
      </c>
      <c r="AX25" s="62">
        <f t="shared" si="4"/>
        <v>0</v>
      </c>
      <c r="AY25" s="62">
        <f t="shared" si="5"/>
        <v>0</v>
      </c>
      <c r="AZ25" s="63">
        <f t="shared" si="6"/>
        <v>0</v>
      </c>
      <c r="BA25" s="8">
        <f t="shared" si="7"/>
        <v>0</v>
      </c>
      <c r="BB25" s="8"/>
      <c r="BC25" s="8"/>
      <c r="BD25" s="8"/>
      <c r="BE25" s="8"/>
      <c r="BF25" s="8"/>
      <c r="BG25" s="8"/>
      <c r="BH25" s="8"/>
      <c r="BI25" s="8"/>
      <c r="BJ25" s="8">
        <f t="shared" si="8"/>
        <v>0</v>
      </c>
      <c r="BK25" s="8">
        <f>IFERROR(AY25*IFERROR(IF($BK$4="",VLOOKUP(E25,DEFAULTS!$S$3:$V$20,IFERROR(MATCH($B$3,DEFAULTS!$T$3:$V$3,0)+1,2),0),$BK$4),0),0)</f>
        <v>0</v>
      </c>
      <c r="BL25" s="63">
        <f t="shared" si="9"/>
        <v>0</v>
      </c>
      <c r="BM25" s="45">
        <f t="shared" si="20"/>
        <v>0.02</v>
      </c>
      <c r="BN25" s="8">
        <f t="shared" si="10"/>
        <v>0</v>
      </c>
      <c r="BO25" s="64">
        <f t="shared" si="11"/>
        <v>0</v>
      </c>
      <c r="BP25" s="8" t="str">
        <f t="shared" si="12"/>
        <v/>
      </c>
      <c r="BQ25" s="57" t="str">
        <f t="shared" si="13"/>
        <v/>
      </c>
      <c r="BR25" s="57"/>
      <c r="BS25" s="57" t="str">
        <f t="shared" si="14"/>
        <v/>
      </c>
      <c r="BT25" s="8" t="str">
        <f t="shared" si="15"/>
        <v/>
      </c>
    </row>
    <row r="26" spans="1:72" ht="15" customHeight="1" x14ac:dyDescent="0.45">
      <c r="A26" s="53" t="str">
        <f>IF(B26="","",IF(B26="Box",COUNTIF($B$7:B26,"Box"),TEXT(COUNTIF($B$7:B26,"Box"),"0")&amp;IF(B26="Plate","a",IF(B26="Part-L","b",IF(B26="Part-W","c","")))))</f>
        <v/>
      </c>
      <c r="B26" s="28"/>
      <c r="C26" s="28"/>
      <c r="D26" s="54"/>
      <c r="E26" s="54"/>
      <c r="F26" s="55" t="str">
        <f>IF(OR(B26="",B26="Box"),"",IF(B26="Plate",IFERROR(LOOKUP(2,1/(B$7:B25="Box"),F$7:F25)-5,""),""))</f>
        <v/>
      </c>
      <c r="G26" s="55" t="str">
        <f>IF(OR(B26="",B26="Box"),"",IF(B26="Plate",IFERROR(LOOKUP(2,1/(B$7:B25="Box"),G$7:G25)-5,""),IF(OR(B26="Part-L",B26="Part-W"),IFERROR(LOOKUP(2,1/(B$7:B25="Box"),H$7:H25)-15,""),"")))</f>
        <v/>
      </c>
      <c r="H26" s="28"/>
      <c r="I26" s="28"/>
      <c r="J26" s="28"/>
      <c r="K26" s="28"/>
      <c r="L26" s="56" t="str">
        <f>IFERROR(INDEX(DEFAULTS!$E:$E,MATCH(I26,DEFAULTS!$A:$A,0)),"")</f>
        <v/>
      </c>
      <c r="M26" s="56" t="str">
        <f>IFERROR(INDEX(DEFAULTS!$F:$F,MATCH(I26,DEFAULTS!$A:$A,0)),"")</f>
        <v/>
      </c>
      <c r="N26" s="56" t="str">
        <f>IFERROR(INDEX(DEFAULTS!$G:$G,MATCH(I26,DEFAULTS!$A:$A,0)),"")</f>
        <v/>
      </c>
      <c r="O26" s="56" t="str">
        <f>IFERROR(INDEX(DEFAULTS!$H:$H,MATCH(I26,DEFAULTS!$A:$A,0)),"")</f>
        <v/>
      </c>
      <c r="P26" s="57" t="str">
        <f t="shared" si="0"/>
        <v/>
      </c>
      <c r="Q26" s="57" t="str">
        <f t="shared" si="1"/>
        <v/>
      </c>
      <c r="R26" s="58" t="str">
        <f t="shared" si="2"/>
        <v/>
      </c>
      <c r="S26" s="28"/>
      <c r="T26" s="57">
        <f>IFERROR(AE26+AG26*IF(AB26="",1,IFERROR(VLOOKUP(AB26,DEFAULTS!$M$3:$Q$6,IFERROR(MATCH($B$3,DEFAULTS!$N$2:$Q$2,0)+1,2),0),1))+AI26+AK26*IF(AC26="",1,IFERROR(VLOOKUP(AC26,DEFAULTS!$M$3:$Q$6,IFERROR(MATCH($B$3,DEFAULTS!$N$2:$Q$2,0)+1,2),0),1))+AM26,"")</f>
        <v>0</v>
      </c>
      <c r="U26" s="28"/>
      <c r="V26" s="59">
        <f t="shared" si="3"/>
        <v>0</v>
      </c>
      <c r="W26" s="28"/>
      <c r="X26" s="28"/>
      <c r="Y26" s="28"/>
      <c r="Z26" s="28"/>
      <c r="AA26" s="57">
        <f t="shared" si="16"/>
        <v>0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60" t="str">
        <f>IFERROR(VLOOKUP(AD26,'RATE MASTER'!$A:$G,7,0)+IFERROR(VLOOKUP(AE26,'RATE MASTER'!$K$7:$M$10,3,1),0),"")</f>
        <v/>
      </c>
      <c r="AO26" s="60" t="str">
        <f>IFERROR(VLOOKUP(AF26,'RATE MASTER'!$A:$G,7,0)+IFERROR(VLOOKUP(AG26,'RATE MASTER'!$K$7:$M$10,3,1),0),"")</f>
        <v/>
      </c>
      <c r="AP26" s="60" t="str">
        <f>IFERROR(VLOOKUP(AH26,'RATE MASTER'!$A:$G,7,0)+IFERROR(VLOOKUP(AI26,'RATE MASTER'!$K$7:$M$10,3,1),0),"")</f>
        <v/>
      </c>
      <c r="AQ26" s="60" t="str">
        <f>IFERROR(VLOOKUP(AJ26,'RATE MASTER'!$A:$G,7,0)+IFERROR(VLOOKUP(AK26,'RATE MASTER'!$K$7:$M$10,3,1),0),"")</f>
        <v/>
      </c>
      <c r="AR26" s="60" t="str">
        <f>IFERROR(VLOOKUP(AL26,'RATE MASTER'!$A:$G,7,0)+IFERROR(VLOOKUP(AM26,'RATE MASTER'!$K$7:$M$10,3,1),0),"")</f>
        <v/>
      </c>
      <c r="AS26" s="61">
        <f t="shared" si="17"/>
        <v>0</v>
      </c>
      <c r="AT26" s="61">
        <f>IFERROR((AG26/1000)*R26*IF(AB26="",1,IFERROR(VLOOKUP(AB26,DEFAULTS!$M$3:$Q$6,IFERROR(MATCH($B$3,DEFAULTS!$N$2:$Q$2,0)+1,2),0),1))*(1+IF(B26="Box",$AY$3,$AY$4)),0)</f>
        <v>0</v>
      </c>
      <c r="AU26" s="61">
        <f t="shared" si="18"/>
        <v>0</v>
      </c>
      <c r="AV26" s="61">
        <f>IFERROR((AK26/1000)*R26*IF(AC26="",1,IFERROR(VLOOKUP(AC26,DEFAULTS!$M$3:$Q$6,IFERROR(MATCH($B$3,DEFAULTS!$N$2:$Q$2,0)+1,2),0),1))*(1+IF(B26="Box",$AY$3,$AY$4)),0)</f>
        <v>0</v>
      </c>
      <c r="AW26" s="61">
        <f t="shared" si="19"/>
        <v>0</v>
      </c>
      <c r="AX26" s="62">
        <f t="shared" si="4"/>
        <v>0</v>
      </c>
      <c r="AY26" s="62">
        <f t="shared" si="5"/>
        <v>0</v>
      </c>
      <c r="AZ26" s="63">
        <f t="shared" si="6"/>
        <v>0</v>
      </c>
      <c r="BA26" s="8">
        <f t="shared" si="7"/>
        <v>0</v>
      </c>
      <c r="BB26" s="8"/>
      <c r="BC26" s="8"/>
      <c r="BD26" s="8"/>
      <c r="BE26" s="8"/>
      <c r="BF26" s="8"/>
      <c r="BG26" s="8"/>
      <c r="BH26" s="8"/>
      <c r="BI26" s="8"/>
      <c r="BJ26" s="8">
        <f t="shared" si="8"/>
        <v>0</v>
      </c>
      <c r="BK26" s="8">
        <f>IFERROR(AY26*IFERROR(IF($BK$4="",VLOOKUP(E26,DEFAULTS!$S$3:$V$20,IFERROR(MATCH($B$3,DEFAULTS!$T$3:$V$3,0)+1,2),0),$BK$4),0),0)</f>
        <v>0</v>
      </c>
      <c r="BL26" s="63">
        <f t="shared" si="9"/>
        <v>0</v>
      </c>
      <c r="BM26" s="45">
        <f t="shared" si="20"/>
        <v>0.02</v>
      </c>
      <c r="BN26" s="8">
        <f t="shared" si="10"/>
        <v>0</v>
      </c>
      <c r="BO26" s="64">
        <f t="shared" si="11"/>
        <v>0</v>
      </c>
      <c r="BP26" s="8" t="str">
        <f t="shared" si="12"/>
        <v/>
      </c>
      <c r="BQ26" s="57" t="str">
        <f t="shared" si="13"/>
        <v/>
      </c>
      <c r="BR26" s="57"/>
      <c r="BS26" s="57" t="str">
        <f t="shared" si="14"/>
        <v/>
      </c>
      <c r="BT26" s="8" t="str">
        <f t="shared" si="15"/>
        <v/>
      </c>
    </row>
    <row r="27" spans="1:72" ht="15" customHeight="1" x14ac:dyDescent="0.45">
      <c r="A27" s="53" t="str">
        <f>IF(B27="","",IF(B27="Box",COUNTIF($B$7:B27,"Box"),TEXT(COUNTIF($B$7:B27,"Box"),"0")&amp;IF(B27="Plate","a",IF(B27="Part-L","b",IF(B27="Part-W","c","")))))</f>
        <v/>
      </c>
      <c r="B27" s="28"/>
      <c r="C27" s="28"/>
      <c r="D27" s="54"/>
      <c r="E27" s="54"/>
      <c r="F27" s="55" t="str">
        <f>IF(OR(B27="",B27="Box"),"",IF(B27="Plate",IFERROR(LOOKUP(2,1/(B$7:B26="Box"),F$7:F26)-5,""),""))</f>
        <v/>
      </c>
      <c r="G27" s="55" t="str">
        <f>IF(OR(B27="",B27="Box"),"",IF(B27="Plate",IFERROR(LOOKUP(2,1/(B$7:B26="Box"),G$7:G26)-5,""),IF(OR(B27="Part-L",B27="Part-W"),IFERROR(LOOKUP(2,1/(B$7:B26="Box"),H$7:H26)-15,""),"")))</f>
        <v/>
      </c>
      <c r="H27" s="28"/>
      <c r="I27" s="28"/>
      <c r="J27" s="28"/>
      <c r="K27" s="28"/>
      <c r="L27" s="56" t="str">
        <f>IFERROR(INDEX(DEFAULTS!$E:$E,MATCH(I27,DEFAULTS!$A:$A,0)),"")</f>
        <v/>
      </c>
      <c r="M27" s="56" t="str">
        <f>IFERROR(INDEX(DEFAULTS!$F:$F,MATCH(I27,DEFAULTS!$A:$A,0)),"")</f>
        <v/>
      </c>
      <c r="N27" s="56" t="str">
        <f>IFERROR(INDEX(DEFAULTS!$G:$G,MATCH(I27,DEFAULTS!$A:$A,0)),"")</f>
        <v/>
      </c>
      <c r="O27" s="56" t="str">
        <f>IFERROR(INDEX(DEFAULTS!$H:$H,MATCH(I27,DEFAULTS!$A:$A,0)),"")</f>
        <v/>
      </c>
      <c r="P27" s="57" t="str">
        <f t="shared" si="0"/>
        <v/>
      </c>
      <c r="Q27" s="57" t="str">
        <f t="shared" si="1"/>
        <v/>
      </c>
      <c r="R27" s="58" t="str">
        <f t="shared" si="2"/>
        <v/>
      </c>
      <c r="S27" s="28"/>
      <c r="T27" s="57">
        <f>IFERROR(AE27+AG27*IF(AB27="",1,IFERROR(VLOOKUP(AB27,DEFAULTS!$M$3:$Q$6,IFERROR(MATCH($B$3,DEFAULTS!$N$2:$Q$2,0)+1,2),0),1))+AI27+AK27*IF(AC27="",1,IFERROR(VLOOKUP(AC27,DEFAULTS!$M$3:$Q$6,IFERROR(MATCH($B$3,DEFAULTS!$N$2:$Q$2,0)+1,2),0),1))+AM27,"")</f>
        <v>0</v>
      </c>
      <c r="U27" s="28"/>
      <c r="V27" s="59">
        <f t="shared" si="3"/>
        <v>0</v>
      </c>
      <c r="W27" s="28"/>
      <c r="X27" s="28"/>
      <c r="Y27" s="28"/>
      <c r="Z27" s="28"/>
      <c r="AA27" s="57">
        <f t="shared" si="16"/>
        <v>0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60" t="str">
        <f>IFERROR(VLOOKUP(AD27,'RATE MASTER'!$A:$G,7,0)+IFERROR(VLOOKUP(AE27,'RATE MASTER'!$K$7:$M$10,3,1),0),"")</f>
        <v/>
      </c>
      <c r="AO27" s="60" t="str">
        <f>IFERROR(VLOOKUP(AF27,'RATE MASTER'!$A:$G,7,0)+IFERROR(VLOOKUP(AG27,'RATE MASTER'!$K$7:$M$10,3,1),0),"")</f>
        <v/>
      </c>
      <c r="AP27" s="60" t="str">
        <f>IFERROR(VLOOKUP(AH27,'RATE MASTER'!$A:$G,7,0)+IFERROR(VLOOKUP(AI27,'RATE MASTER'!$K$7:$M$10,3,1),0),"")</f>
        <v/>
      </c>
      <c r="AQ27" s="60" t="str">
        <f>IFERROR(VLOOKUP(AJ27,'RATE MASTER'!$A:$G,7,0)+IFERROR(VLOOKUP(AK27,'RATE MASTER'!$K$7:$M$10,3,1),0),"")</f>
        <v/>
      </c>
      <c r="AR27" s="60" t="str">
        <f>IFERROR(VLOOKUP(AL27,'RATE MASTER'!$A:$G,7,0)+IFERROR(VLOOKUP(AM27,'RATE MASTER'!$K$7:$M$10,3,1),0),"")</f>
        <v/>
      </c>
      <c r="AS27" s="61">
        <f t="shared" si="17"/>
        <v>0</v>
      </c>
      <c r="AT27" s="61">
        <f>IFERROR((AG27/1000)*R27*IF(AB27="",1,IFERROR(VLOOKUP(AB27,DEFAULTS!$M$3:$Q$6,IFERROR(MATCH($B$3,DEFAULTS!$N$2:$Q$2,0)+1,2),0),1))*(1+IF(B27="Box",$AY$3,$AY$4)),0)</f>
        <v>0</v>
      </c>
      <c r="AU27" s="61">
        <f t="shared" si="18"/>
        <v>0</v>
      </c>
      <c r="AV27" s="61">
        <f>IFERROR((AK27/1000)*R27*IF(AC27="",1,IFERROR(VLOOKUP(AC27,DEFAULTS!$M$3:$Q$6,IFERROR(MATCH($B$3,DEFAULTS!$N$2:$Q$2,0)+1,2),0),1))*(1+IF(B27="Box",$AY$3,$AY$4)),0)</f>
        <v>0</v>
      </c>
      <c r="AW27" s="61">
        <f t="shared" si="19"/>
        <v>0</v>
      </c>
      <c r="AX27" s="62">
        <f t="shared" si="4"/>
        <v>0</v>
      </c>
      <c r="AY27" s="62">
        <f t="shared" si="5"/>
        <v>0</v>
      </c>
      <c r="AZ27" s="63">
        <f t="shared" si="6"/>
        <v>0</v>
      </c>
      <c r="BA27" s="8">
        <f t="shared" si="7"/>
        <v>0</v>
      </c>
      <c r="BB27" s="8"/>
      <c r="BC27" s="8"/>
      <c r="BD27" s="8"/>
      <c r="BE27" s="8"/>
      <c r="BF27" s="8"/>
      <c r="BG27" s="8"/>
      <c r="BH27" s="8"/>
      <c r="BI27" s="8"/>
      <c r="BJ27" s="8">
        <f t="shared" si="8"/>
        <v>0</v>
      </c>
      <c r="BK27" s="8">
        <f>IFERROR(AY27*IFERROR(IF($BK$4="",VLOOKUP(E27,DEFAULTS!$S$3:$V$20,IFERROR(MATCH($B$3,DEFAULTS!$T$3:$V$3,0)+1,2),0),$BK$4),0),0)</f>
        <v>0</v>
      </c>
      <c r="BL27" s="63">
        <f t="shared" si="9"/>
        <v>0</v>
      </c>
      <c r="BM27" s="45">
        <f t="shared" si="20"/>
        <v>0.02</v>
      </c>
      <c r="BN27" s="8">
        <f t="shared" si="10"/>
        <v>0</v>
      </c>
      <c r="BO27" s="64">
        <f t="shared" si="11"/>
        <v>0</v>
      </c>
      <c r="BP27" s="8" t="str">
        <f t="shared" si="12"/>
        <v/>
      </c>
      <c r="BQ27" s="57" t="str">
        <f t="shared" si="13"/>
        <v/>
      </c>
      <c r="BR27" s="57"/>
      <c r="BS27" s="57" t="str">
        <f t="shared" si="14"/>
        <v/>
      </c>
      <c r="BT27" s="8" t="str">
        <f t="shared" si="15"/>
        <v/>
      </c>
    </row>
    <row r="28" spans="1:72" ht="15" customHeight="1" x14ac:dyDescent="0.45">
      <c r="A28" s="53" t="str">
        <f>IF(B28="","",IF(B28="Box",COUNTIF($B$7:B28,"Box"),TEXT(COUNTIF($B$7:B28,"Box"),"0")&amp;IF(B28="Plate","a",IF(B28="Part-L","b",IF(B28="Part-W","c","")))))</f>
        <v/>
      </c>
      <c r="B28" s="28"/>
      <c r="C28" s="28"/>
      <c r="D28" s="54"/>
      <c r="E28" s="54"/>
      <c r="F28" s="55" t="str">
        <f>IF(OR(B28="",B28="Box"),"",IF(B28="Plate",IFERROR(LOOKUP(2,1/(B$7:B27="Box"),F$7:F27)-5,""),""))</f>
        <v/>
      </c>
      <c r="G28" s="55" t="str">
        <f>IF(OR(B28="",B28="Box"),"",IF(B28="Plate",IFERROR(LOOKUP(2,1/(B$7:B27="Box"),G$7:G27)-5,""),IF(OR(B28="Part-L",B28="Part-W"),IFERROR(LOOKUP(2,1/(B$7:B27="Box"),H$7:H27)-15,""),"")))</f>
        <v/>
      </c>
      <c r="H28" s="28"/>
      <c r="I28" s="28"/>
      <c r="J28" s="28"/>
      <c r="K28" s="28"/>
      <c r="L28" s="56" t="str">
        <f>IFERROR(INDEX(DEFAULTS!$E:$E,MATCH(I28,DEFAULTS!$A:$A,0)),"")</f>
        <v/>
      </c>
      <c r="M28" s="56" t="str">
        <f>IFERROR(INDEX(DEFAULTS!$F:$F,MATCH(I28,DEFAULTS!$A:$A,0)),"")</f>
        <v/>
      </c>
      <c r="N28" s="56" t="str">
        <f>IFERROR(INDEX(DEFAULTS!$G:$G,MATCH(I28,DEFAULTS!$A:$A,0)),"")</f>
        <v/>
      </c>
      <c r="O28" s="56" t="str">
        <f>IFERROR(INDEX(DEFAULTS!$H:$H,MATCH(I28,DEFAULTS!$A:$A,0)),"")</f>
        <v/>
      </c>
      <c r="P28" s="57" t="str">
        <f t="shared" si="0"/>
        <v/>
      </c>
      <c r="Q28" s="57" t="str">
        <f t="shared" si="1"/>
        <v/>
      </c>
      <c r="R28" s="58" t="str">
        <f t="shared" si="2"/>
        <v/>
      </c>
      <c r="S28" s="28"/>
      <c r="T28" s="57">
        <f>IFERROR(AE28+AG28*IF(AB28="",1,IFERROR(VLOOKUP(AB28,DEFAULTS!$M$3:$Q$6,IFERROR(MATCH($B$3,DEFAULTS!$N$2:$Q$2,0)+1,2),0),1))+AI28+AK28*IF(AC28="",1,IFERROR(VLOOKUP(AC28,DEFAULTS!$M$3:$Q$6,IFERROR(MATCH($B$3,DEFAULTS!$N$2:$Q$2,0)+1,2),0),1))+AM28,"")</f>
        <v>0</v>
      </c>
      <c r="U28" s="28"/>
      <c r="V28" s="59">
        <f t="shared" si="3"/>
        <v>0</v>
      </c>
      <c r="W28" s="28"/>
      <c r="X28" s="28"/>
      <c r="Y28" s="28"/>
      <c r="Z28" s="28"/>
      <c r="AA28" s="57">
        <f t="shared" si="16"/>
        <v>0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60" t="str">
        <f>IFERROR(VLOOKUP(AD28,'RATE MASTER'!$A:$G,7,0)+IFERROR(VLOOKUP(AE28,'RATE MASTER'!$K$7:$M$10,3,1),0),"")</f>
        <v/>
      </c>
      <c r="AO28" s="60" t="str">
        <f>IFERROR(VLOOKUP(AF28,'RATE MASTER'!$A:$G,7,0)+IFERROR(VLOOKUP(AG28,'RATE MASTER'!$K$7:$M$10,3,1),0),"")</f>
        <v/>
      </c>
      <c r="AP28" s="60" t="str">
        <f>IFERROR(VLOOKUP(AH28,'RATE MASTER'!$A:$G,7,0)+IFERROR(VLOOKUP(AI28,'RATE MASTER'!$K$7:$M$10,3,1),0),"")</f>
        <v/>
      </c>
      <c r="AQ28" s="60" t="str">
        <f>IFERROR(VLOOKUP(AJ28,'RATE MASTER'!$A:$G,7,0)+IFERROR(VLOOKUP(AK28,'RATE MASTER'!$K$7:$M$10,3,1),0),"")</f>
        <v/>
      </c>
      <c r="AR28" s="60" t="str">
        <f>IFERROR(VLOOKUP(AL28,'RATE MASTER'!$A:$G,7,0)+IFERROR(VLOOKUP(AM28,'RATE MASTER'!$K$7:$M$10,3,1),0),"")</f>
        <v/>
      </c>
      <c r="AS28" s="61">
        <f t="shared" si="17"/>
        <v>0</v>
      </c>
      <c r="AT28" s="61">
        <f>IFERROR((AG28/1000)*R28*IF(AB28="",1,IFERROR(VLOOKUP(AB28,DEFAULTS!$M$3:$Q$6,IFERROR(MATCH($B$3,DEFAULTS!$N$2:$Q$2,0)+1,2),0),1))*(1+IF(B28="Box",$AY$3,$AY$4)),0)</f>
        <v>0</v>
      </c>
      <c r="AU28" s="61">
        <f t="shared" si="18"/>
        <v>0</v>
      </c>
      <c r="AV28" s="61">
        <f>IFERROR((AK28/1000)*R28*IF(AC28="",1,IFERROR(VLOOKUP(AC28,DEFAULTS!$M$3:$Q$6,IFERROR(MATCH($B$3,DEFAULTS!$N$2:$Q$2,0)+1,2),0),1))*(1+IF(B28="Box",$AY$3,$AY$4)),0)</f>
        <v>0</v>
      </c>
      <c r="AW28" s="61">
        <f t="shared" si="19"/>
        <v>0</v>
      </c>
      <c r="AX28" s="62">
        <f t="shared" si="4"/>
        <v>0</v>
      </c>
      <c r="AY28" s="62">
        <f t="shared" si="5"/>
        <v>0</v>
      </c>
      <c r="AZ28" s="63">
        <f t="shared" si="6"/>
        <v>0</v>
      </c>
      <c r="BA28" s="8">
        <f t="shared" si="7"/>
        <v>0</v>
      </c>
      <c r="BB28" s="8"/>
      <c r="BC28" s="8"/>
      <c r="BD28" s="8"/>
      <c r="BE28" s="8"/>
      <c r="BF28" s="8"/>
      <c r="BG28" s="8"/>
      <c r="BH28" s="8"/>
      <c r="BI28" s="8"/>
      <c r="BJ28" s="8">
        <f t="shared" si="8"/>
        <v>0</v>
      </c>
      <c r="BK28" s="8">
        <f>IFERROR(AY28*IFERROR(IF($BK$4="",VLOOKUP(E28,DEFAULTS!$S$3:$V$20,IFERROR(MATCH($B$3,DEFAULTS!$T$3:$V$3,0)+1,2),0),$BK$4),0),0)</f>
        <v>0</v>
      </c>
      <c r="BL28" s="63">
        <f t="shared" si="9"/>
        <v>0</v>
      </c>
      <c r="BM28" s="45">
        <f t="shared" si="20"/>
        <v>0.02</v>
      </c>
      <c r="BN28" s="8">
        <f t="shared" si="10"/>
        <v>0</v>
      </c>
      <c r="BO28" s="64">
        <f t="shared" si="11"/>
        <v>0</v>
      </c>
      <c r="BP28" s="8" t="str">
        <f t="shared" si="12"/>
        <v/>
      </c>
      <c r="BQ28" s="57" t="str">
        <f t="shared" si="13"/>
        <v/>
      </c>
      <c r="BR28" s="57"/>
      <c r="BS28" s="57" t="str">
        <f t="shared" si="14"/>
        <v/>
      </c>
      <c r="BT28" s="8" t="str">
        <f t="shared" si="15"/>
        <v/>
      </c>
    </row>
    <row r="29" spans="1:72" ht="15" customHeight="1" x14ac:dyDescent="0.45">
      <c r="A29" s="53" t="str">
        <f>IF(B29="","",IF(B29="Box",COUNTIF($B$7:B29,"Box"),TEXT(COUNTIF($B$7:B29,"Box"),"0")&amp;IF(B29="Plate","a",IF(B29="Part-L","b",IF(B29="Part-W","c","")))))</f>
        <v/>
      </c>
      <c r="B29" s="28"/>
      <c r="C29" s="28"/>
      <c r="D29" s="54"/>
      <c r="E29" s="54"/>
      <c r="F29" s="55" t="str">
        <f>IF(OR(B29="",B29="Box"),"",IF(B29="Plate",IFERROR(LOOKUP(2,1/(B$7:B28="Box"),F$7:F28)-5,""),""))</f>
        <v/>
      </c>
      <c r="G29" s="55" t="str">
        <f>IF(OR(B29="",B29="Box"),"",IF(B29="Plate",IFERROR(LOOKUP(2,1/(B$7:B28="Box"),G$7:G28)-5,""),IF(OR(B29="Part-L",B29="Part-W"),IFERROR(LOOKUP(2,1/(B$7:B28="Box"),H$7:H28)-15,""),"")))</f>
        <v/>
      </c>
      <c r="H29" s="28"/>
      <c r="I29" s="28"/>
      <c r="J29" s="28"/>
      <c r="K29" s="28"/>
      <c r="L29" s="56" t="str">
        <f>IFERROR(INDEX(DEFAULTS!$E:$E,MATCH(I29,DEFAULTS!$A:$A,0)),"")</f>
        <v/>
      </c>
      <c r="M29" s="56" t="str">
        <f>IFERROR(INDEX(DEFAULTS!$F:$F,MATCH(I29,DEFAULTS!$A:$A,0)),"")</f>
        <v/>
      </c>
      <c r="N29" s="56" t="str">
        <f>IFERROR(INDEX(DEFAULTS!$G:$G,MATCH(I29,DEFAULTS!$A:$A,0)),"")</f>
        <v/>
      </c>
      <c r="O29" s="56" t="str">
        <f>IFERROR(INDEX(DEFAULTS!$H:$H,MATCH(I29,DEFAULTS!$A:$A,0)),"")</f>
        <v/>
      </c>
      <c r="P29" s="57" t="str">
        <f t="shared" si="0"/>
        <v/>
      </c>
      <c r="Q29" s="57" t="str">
        <f t="shared" si="1"/>
        <v/>
      </c>
      <c r="R29" s="58" t="str">
        <f t="shared" si="2"/>
        <v/>
      </c>
      <c r="S29" s="28"/>
      <c r="T29" s="57">
        <f>IFERROR(AE29+AG29*IF(AB29="",1,IFERROR(VLOOKUP(AB29,DEFAULTS!$M$3:$Q$6,IFERROR(MATCH($B$3,DEFAULTS!$N$2:$Q$2,0)+1,2),0),1))+AI29+AK29*IF(AC29="",1,IFERROR(VLOOKUP(AC29,DEFAULTS!$M$3:$Q$6,IFERROR(MATCH($B$3,DEFAULTS!$N$2:$Q$2,0)+1,2),0),1))+AM29,"")</f>
        <v>0</v>
      </c>
      <c r="U29" s="28"/>
      <c r="V29" s="59">
        <f t="shared" si="3"/>
        <v>0</v>
      </c>
      <c r="W29" s="28"/>
      <c r="X29" s="28"/>
      <c r="Y29" s="28"/>
      <c r="Z29" s="28"/>
      <c r="AA29" s="57">
        <f t="shared" si="16"/>
        <v>0</v>
      </c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60" t="str">
        <f>IFERROR(VLOOKUP(AD29,'RATE MASTER'!$A:$G,7,0)+IFERROR(VLOOKUP(AE29,'RATE MASTER'!$K$7:$M$10,3,1),0),"")</f>
        <v/>
      </c>
      <c r="AO29" s="60" t="str">
        <f>IFERROR(VLOOKUP(AF29,'RATE MASTER'!$A:$G,7,0)+IFERROR(VLOOKUP(AG29,'RATE MASTER'!$K$7:$M$10,3,1),0),"")</f>
        <v/>
      </c>
      <c r="AP29" s="60" t="str">
        <f>IFERROR(VLOOKUP(AH29,'RATE MASTER'!$A:$G,7,0)+IFERROR(VLOOKUP(AI29,'RATE MASTER'!$K$7:$M$10,3,1),0),"")</f>
        <v/>
      </c>
      <c r="AQ29" s="60" t="str">
        <f>IFERROR(VLOOKUP(AJ29,'RATE MASTER'!$A:$G,7,0)+IFERROR(VLOOKUP(AK29,'RATE MASTER'!$K$7:$M$10,3,1),0),"")</f>
        <v/>
      </c>
      <c r="AR29" s="60" t="str">
        <f>IFERROR(VLOOKUP(AL29,'RATE MASTER'!$A:$G,7,0)+IFERROR(VLOOKUP(AM29,'RATE MASTER'!$K$7:$M$10,3,1),0),"")</f>
        <v/>
      </c>
      <c r="AS29" s="61">
        <f t="shared" si="17"/>
        <v>0</v>
      </c>
      <c r="AT29" s="61">
        <f>IFERROR((AG29/1000)*R29*IF(AB29="",1,IFERROR(VLOOKUP(AB29,DEFAULTS!$M$3:$Q$6,IFERROR(MATCH($B$3,DEFAULTS!$N$2:$Q$2,0)+1,2),0),1))*(1+IF(B29="Box",$AY$3,$AY$4)),0)</f>
        <v>0</v>
      </c>
      <c r="AU29" s="61">
        <f t="shared" si="18"/>
        <v>0</v>
      </c>
      <c r="AV29" s="61">
        <f>IFERROR((AK29/1000)*R29*IF(AC29="",1,IFERROR(VLOOKUP(AC29,DEFAULTS!$M$3:$Q$6,IFERROR(MATCH($B$3,DEFAULTS!$N$2:$Q$2,0)+1,2),0),1))*(1+IF(B29="Box",$AY$3,$AY$4)),0)</f>
        <v>0</v>
      </c>
      <c r="AW29" s="61">
        <f t="shared" si="19"/>
        <v>0</v>
      </c>
      <c r="AX29" s="62">
        <f t="shared" si="4"/>
        <v>0</v>
      </c>
      <c r="AY29" s="62">
        <f t="shared" si="5"/>
        <v>0</v>
      </c>
      <c r="AZ29" s="63">
        <f t="shared" si="6"/>
        <v>0</v>
      </c>
      <c r="BA29" s="8">
        <f t="shared" si="7"/>
        <v>0</v>
      </c>
      <c r="BB29" s="8"/>
      <c r="BC29" s="8"/>
      <c r="BD29" s="8"/>
      <c r="BE29" s="8"/>
      <c r="BF29" s="8"/>
      <c r="BG29" s="8"/>
      <c r="BH29" s="8"/>
      <c r="BI29" s="8"/>
      <c r="BJ29" s="8">
        <f t="shared" si="8"/>
        <v>0</v>
      </c>
      <c r="BK29" s="8">
        <f>IFERROR(AY29*IFERROR(IF($BK$4="",VLOOKUP(E29,DEFAULTS!$S$3:$V$20,IFERROR(MATCH($B$3,DEFAULTS!$T$3:$V$3,0)+1,2),0),$BK$4),0),0)</f>
        <v>0</v>
      </c>
      <c r="BL29" s="63">
        <f t="shared" si="9"/>
        <v>0</v>
      </c>
      <c r="BM29" s="45">
        <f t="shared" si="20"/>
        <v>0.02</v>
      </c>
      <c r="BN29" s="8">
        <f t="shared" si="10"/>
        <v>0</v>
      </c>
      <c r="BO29" s="64">
        <f t="shared" si="11"/>
        <v>0</v>
      </c>
      <c r="BP29" s="8" t="str">
        <f t="shared" si="12"/>
        <v/>
      </c>
      <c r="BQ29" s="57" t="str">
        <f t="shared" si="13"/>
        <v/>
      </c>
      <c r="BR29" s="57"/>
      <c r="BS29" s="57" t="str">
        <f t="shared" si="14"/>
        <v/>
      </c>
      <c r="BT29" s="8" t="str">
        <f t="shared" si="15"/>
        <v/>
      </c>
    </row>
    <row r="30" spans="1:72" ht="15" customHeight="1" x14ac:dyDescent="0.45">
      <c r="A30" s="53" t="str">
        <f>IF(B30="","",IF(B30="Box",COUNTIF($B$7:B30,"Box"),TEXT(COUNTIF($B$7:B30,"Box"),"0")&amp;IF(B30="Plate","a",IF(B30="Part-L","b",IF(B30="Part-W","c","")))))</f>
        <v/>
      </c>
      <c r="B30" s="28"/>
      <c r="C30" s="28"/>
      <c r="D30" s="54"/>
      <c r="E30" s="54"/>
      <c r="F30" s="55" t="str">
        <f>IF(OR(B30="",B30="Box"),"",IF(B30="Plate",IFERROR(LOOKUP(2,1/(B$7:B29="Box"),F$7:F29)-5,""),""))</f>
        <v/>
      </c>
      <c r="G30" s="55" t="str">
        <f>IF(OR(B30="",B30="Box"),"",IF(B30="Plate",IFERROR(LOOKUP(2,1/(B$7:B29="Box"),G$7:G29)-5,""),IF(OR(B30="Part-L",B30="Part-W"),IFERROR(LOOKUP(2,1/(B$7:B29="Box"),H$7:H29)-15,""),"")))</f>
        <v/>
      </c>
      <c r="H30" s="28"/>
      <c r="I30" s="28"/>
      <c r="J30" s="28"/>
      <c r="K30" s="28"/>
      <c r="L30" s="56" t="str">
        <f>IFERROR(INDEX(DEFAULTS!$E:$E,MATCH(I30,DEFAULTS!$A:$A,0)),"")</f>
        <v/>
      </c>
      <c r="M30" s="56" t="str">
        <f>IFERROR(INDEX(DEFAULTS!$F:$F,MATCH(I30,DEFAULTS!$A:$A,0)),"")</f>
        <v/>
      </c>
      <c r="N30" s="56" t="str">
        <f>IFERROR(INDEX(DEFAULTS!$G:$G,MATCH(I30,DEFAULTS!$A:$A,0)),"")</f>
        <v/>
      </c>
      <c r="O30" s="56" t="str">
        <f>IFERROR(INDEX(DEFAULTS!$H:$H,MATCH(I30,DEFAULTS!$A:$A,0)),"")</f>
        <v/>
      </c>
      <c r="P30" s="57" t="str">
        <f t="shared" si="0"/>
        <v/>
      </c>
      <c r="Q30" s="57" t="str">
        <f t="shared" si="1"/>
        <v/>
      </c>
      <c r="R30" s="58" t="str">
        <f t="shared" si="2"/>
        <v/>
      </c>
      <c r="S30" s="28"/>
      <c r="T30" s="57">
        <f>IFERROR(AE30+AG30*IF(AB30="",1,IFERROR(VLOOKUP(AB30,DEFAULTS!$M$3:$Q$6,IFERROR(MATCH($B$3,DEFAULTS!$N$2:$Q$2,0)+1,2),0),1))+AI30+AK30*IF(AC30="",1,IFERROR(VLOOKUP(AC30,DEFAULTS!$M$3:$Q$6,IFERROR(MATCH($B$3,DEFAULTS!$N$2:$Q$2,0)+1,2),0),1))+AM30,"")</f>
        <v>0</v>
      </c>
      <c r="U30" s="28"/>
      <c r="V30" s="59">
        <f t="shared" si="3"/>
        <v>0</v>
      </c>
      <c r="W30" s="28"/>
      <c r="X30" s="28"/>
      <c r="Y30" s="28"/>
      <c r="Z30" s="28"/>
      <c r="AA30" s="57">
        <f t="shared" si="16"/>
        <v>0</v>
      </c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60" t="str">
        <f>IFERROR(VLOOKUP(AD30,'RATE MASTER'!$A:$G,7,0)+IFERROR(VLOOKUP(AE30,'RATE MASTER'!$K$7:$M$10,3,1),0),"")</f>
        <v/>
      </c>
      <c r="AO30" s="60" t="str">
        <f>IFERROR(VLOOKUP(AF30,'RATE MASTER'!$A:$G,7,0)+IFERROR(VLOOKUP(AG30,'RATE MASTER'!$K$7:$M$10,3,1),0),"")</f>
        <v/>
      </c>
      <c r="AP30" s="60" t="str">
        <f>IFERROR(VLOOKUP(AH30,'RATE MASTER'!$A:$G,7,0)+IFERROR(VLOOKUP(AI30,'RATE MASTER'!$K$7:$M$10,3,1),0),"")</f>
        <v/>
      </c>
      <c r="AQ30" s="60" t="str">
        <f>IFERROR(VLOOKUP(AJ30,'RATE MASTER'!$A:$G,7,0)+IFERROR(VLOOKUP(AK30,'RATE MASTER'!$K$7:$M$10,3,1),0),"")</f>
        <v/>
      </c>
      <c r="AR30" s="60" t="str">
        <f>IFERROR(VLOOKUP(AL30,'RATE MASTER'!$A:$G,7,0)+IFERROR(VLOOKUP(AM30,'RATE MASTER'!$K$7:$M$10,3,1),0),"")</f>
        <v/>
      </c>
      <c r="AS30" s="61">
        <f t="shared" si="17"/>
        <v>0</v>
      </c>
      <c r="AT30" s="61">
        <f>IFERROR((AG30/1000)*R30*IF(AB30="",1,IFERROR(VLOOKUP(AB30,DEFAULTS!$M$3:$Q$6,IFERROR(MATCH($B$3,DEFAULTS!$N$2:$Q$2,0)+1,2),0),1))*(1+IF(B30="Box",$AY$3,$AY$4)),0)</f>
        <v>0</v>
      </c>
      <c r="AU30" s="61">
        <f t="shared" si="18"/>
        <v>0</v>
      </c>
      <c r="AV30" s="61">
        <f>IFERROR((AK30/1000)*R30*IF(AC30="",1,IFERROR(VLOOKUP(AC30,DEFAULTS!$M$3:$Q$6,IFERROR(MATCH($B$3,DEFAULTS!$N$2:$Q$2,0)+1,2),0),1))*(1+IF(B30="Box",$AY$3,$AY$4)),0)</f>
        <v>0</v>
      </c>
      <c r="AW30" s="61">
        <f t="shared" si="19"/>
        <v>0</v>
      </c>
      <c r="AX30" s="62">
        <f t="shared" si="4"/>
        <v>0</v>
      </c>
      <c r="AY30" s="62">
        <f t="shared" si="5"/>
        <v>0</v>
      </c>
      <c r="AZ30" s="63">
        <f t="shared" si="6"/>
        <v>0</v>
      </c>
      <c r="BA30" s="8">
        <f t="shared" si="7"/>
        <v>0</v>
      </c>
      <c r="BB30" s="8"/>
      <c r="BC30" s="8"/>
      <c r="BD30" s="8"/>
      <c r="BE30" s="8"/>
      <c r="BF30" s="8"/>
      <c r="BG30" s="8"/>
      <c r="BH30" s="8"/>
      <c r="BI30" s="8"/>
      <c r="BJ30" s="8">
        <f t="shared" si="8"/>
        <v>0</v>
      </c>
      <c r="BK30" s="8">
        <f>IFERROR(AY30*IFERROR(IF($BK$4="",VLOOKUP(E30,DEFAULTS!$S$3:$V$20,IFERROR(MATCH($B$3,DEFAULTS!$T$3:$V$3,0)+1,2),0),$BK$4),0),0)</f>
        <v>0</v>
      </c>
      <c r="BL30" s="63">
        <f t="shared" si="9"/>
        <v>0</v>
      </c>
      <c r="BM30" s="45">
        <f t="shared" si="20"/>
        <v>0.02</v>
      </c>
      <c r="BN30" s="8">
        <f t="shared" si="10"/>
        <v>0</v>
      </c>
      <c r="BO30" s="64">
        <f t="shared" si="11"/>
        <v>0</v>
      </c>
      <c r="BP30" s="8" t="str">
        <f t="shared" si="12"/>
        <v/>
      </c>
      <c r="BQ30" s="57" t="str">
        <f t="shared" si="13"/>
        <v/>
      </c>
      <c r="BR30" s="57"/>
      <c r="BS30" s="57" t="str">
        <f t="shared" si="14"/>
        <v/>
      </c>
      <c r="BT30" s="8" t="str">
        <f t="shared" si="15"/>
        <v/>
      </c>
    </row>
    <row r="31" spans="1:72" ht="15" customHeight="1" x14ac:dyDescent="0.45">
      <c r="A31" s="53" t="str">
        <f>IF(B31="","",IF(B31="Box",COUNTIF($B$7:B31,"Box"),TEXT(COUNTIF($B$7:B31,"Box"),"0")&amp;IF(B31="Plate","a",IF(B31="Part-L","b",IF(B31="Part-W","c","")))))</f>
        <v/>
      </c>
      <c r="B31" s="28"/>
      <c r="C31" s="28"/>
      <c r="D31" s="54"/>
      <c r="E31" s="54"/>
      <c r="F31" s="55" t="str">
        <f>IF(OR(B31="",B31="Box"),"",IF(B31="Plate",IFERROR(LOOKUP(2,1/(B$7:B30="Box"),F$7:F30)-5,""),""))</f>
        <v/>
      </c>
      <c r="G31" s="55" t="str">
        <f>IF(OR(B31="",B31="Box"),"",IF(B31="Plate",IFERROR(LOOKUP(2,1/(B$7:B30="Box"),G$7:G30)-5,""),IF(OR(B31="Part-L",B31="Part-W"),IFERROR(LOOKUP(2,1/(B$7:B30="Box"),H$7:H30)-15,""),"")))</f>
        <v/>
      </c>
      <c r="H31" s="28"/>
      <c r="I31" s="28"/>
      <c r="J31" s="28"/>
      <c r="K31" s="28"/>
      <c r="L31" s="56" t="str">
        <f>IFERROR(INDEX(DEFAULTS!$E:$E,MATCH(I31,DEFAULTS!$A:$A,0)),"")</f>
        <v/>
      </c>
      <c r="M31" s="56" t="str">
        <f>IFERROR(INDEX(DEFAULTS!$F:$F,MATCH(I31,DEFAULTS!$A:$A,0)),"")</f>
        <v/>
      </c>
      <c r="N31" s="56" t="str">
        <f>IFERROR(INDEX(DEFAULTS!$G:$G,MATCH(I31,DEFAULTS!$A:$A,0)),"")</f>
        <v/>
      </c>
      <c r="O31" s="56" t="str">
        <f>IFERROR(INDEX(DEFAULTS!$H:$H,MATCH(I31,DEFAULTS!$A:$A,0)),"")</f>
        <v/>
      </c>
      <c r="P31" s="57" t="str">
        <f t="shared" si="0"/>
        <v/>
      </c>
      <c r="Q31" s="57" t="str">
        <f t="shared" si="1"/>
        <v/>
      </c>
      <c r="R31" s="58" t="str">
        <f t="shared" si="2"/>
        <v/>
      </c>
      <c r="S31" s="28"/>
      <c r="T31" s="57">
        <f>IFERROR(AE31+AG31*IF(AB31="",1,IFERROR(VLOOKUP(AB31,DEFAULTS!$M$3:$Q$6,IFERROR(MATCH($B$3,DEFAULTS!$N$2:$Q$2,0)+1,2),0),1))+AI31+AK31*IF(AC31="",1,IFERROR(VLOOKUP(AC31,DEFAULTS!$M$3:$Q$6,IFERROR(MATCH($B$3,DEFAULTS!$N$2:$Q$2,0)+1,2),0),1))+AM31,"")</f>
        <v>0</v>
      </c>
      <c r="U31" s="28"/>
      <c r="V31" s="59">
        <f t="shared" si="3"/>
        <v>0</v>
      </c>
      <c r="W31" s="28"/>
      <c r="X31" s="28"/>
      <c r="Y31" s="28"/>
      <c r="Z31" s="28"/>
      <c r="AA31" s="57">
        <f t="shared" si="16"/>
        <v>0</v>
      </c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60" t="str">
        <f>IFERROR(VLOOKUP(AD31,'RATE MASTER'!$A:$G,7,0)+IFERROR(VLOOKUP(AE31,'RATE MASTER'!$K$7:$M$10,3,1),0),"")</f>
        <v/>
      </c>
      <c r="AO31" s="60" t="str">
        <f>IFERROR(VLOOKUP(AF31,'RATE MASTER'!$A:$G,7,0)+IFERROR(VLOOKUP(AG31,'RATE MASTER'!$K$7:$M$10,3,1),0),"")</f>
        <v/>
      </c>
      <c r="AP31" s="60" t="str">
        <f>IFERROR(VLOOKUP(AH31,'RATE MASTER'!$A:$G,7,0)+IFERROR(VLOOKUP(AI31,'RATE MASTER'!$K$7:$M$10,3,1),0),"")</f>
        <v/>
      </c>
      <c r="AQ31" s="60" t="str">
        <f>IFERROR(VLOOKUP(AJ31,'RATE MASTER'!$A:$G,7,0)+IFERROR(VLOOKUP(AK31,'RATE MASTER'!$K$7:$M$10,3,1),0),"")</f>
        <v/>
      </c>
      <c r="AR31" s="60" t="str">
        <f>IFERROR(VLOOKUP(AL31,'RATE MASTER'!$A:$G,7,0)+IFERROR(VLOOKUP(AM31,'RATE MASTER'!$K$7:$M$10,3,1),0),"")</f>
        <v/>
      </c>
      <c r="AS31" s="61">
        <f t="shared" si="17"/>
        <v>0</v>
      </c>
      <c r="AT31" s="61">
        <f>IFERROR((AG31/1000)*R31*IF(AB31="",1,IFERROR(VLOOKUP(AB31,DEFAULTS!$M$3:$Q$6,IFERROR(MATCH($B$3,DEFAULTS!$N$2:$Q$2,0)+1,2),0),1))*(1+IF(B31="Box",$AY$3,$AY$4)),0)</f>
        <v>0</v>
      </c>
      <c r="AU31" s="61">
        <f t="shared" si="18"/>
        <v>0</v>
      </c>
      <c r="AV31" s="61">
        <f>IFERROR((AK31/1000)*R31*IF(AC31="",1,IFERROR(VLOOKUP(AC31,DEFAULTS!$M$3:$Q$6,IFERROR(MATCH($B$3,DEFAULTS!$N$2:$Q$2,0)+1,2),0),1))*(1+IF(B31="Box",$AY$3,$AY$4)),0)</f>
        <v>0</v>
      </c>
      <c r="AW31" s="61">
        <f t="shared" si="19"/>
        <v>0</v>
      </c>
      <c r="AX31" s="62">
        <f t="shared" si="4"/>
        <v>0</v>
      </c>
      <c r="AY31" s="62">
        <f t="shared" si="5"/>
        <v>0</v>
      </c>
      <c r="AZ31" s="63">
        <f t="shared" si="6"/>
        <v>0</v>
      </c>
      <c r="BA31" s="8">
        <f t="shared" si="7"/>
        <v>0</v>
      </c>
      <c r="BB31" s="8"/>
      <c r="BC31" s="8"/>
      <c r="BD31" s="8"/>
      <c r="BE31" s="8"/>
      <c r="BF31" s="8"/>
      <c r="BG31" s="8"/>
      <c r="BH31" s="8"/>
      <c r="BI31" s="8"/>
      <c r="BJ31" s="8">
        <f t="shared" si="8"/>
        <v>0</v>
      </c>
      <c r="BK31" s="8">
        <f>IFERROR(AY31*IFERROR(IF($BK$4="",VLOOKUP(E31,DEFAULTS!$S$3:$V$20,IFERROR(MATCH($B$3,DEFAULTS!$T$3:$V$3,0)+1,2),0),$BK$4),0),0)</f>
        <v>0</v>
      </c>
      <c r="BL31" s="63">
        <f t="shared" si="9"/>
        <v>0</v>
      </c>
      <c r="BM31" s="45">
        <f t="shared" si="20"/>
        <v>0.02</v>
      </c>
      <c r="BN31" s="8">
        <f t="shared" si="10"/>
        <v>0</v>
      </c>
      <c r="BO31" s="64">
        <f t="shared" si="11"/>
        <v>0</v>
      </c>
      <c r="BP31" s="8" t="str">
        <f t="shared" si="12"/>
        <v/>
      </c>
      <c r="BQ31" s="57" t="str">
        <f t="shared" si="13"/>
        <v/>
      </c>
      <c r="BR31" s="57"/>
      <c r="BS31" s="57" t="str">
        <f t="shared" si="14"/>
        <v/>
      </c>
      <c r="BT31" s="8" t="str">
        <f t="shared" si="15"/>
        <v/>
      </c>
    </row>
    <row r="32" spans="1:72" ht="15" customHeight="1" x14ac:dyDescent="0.45">
      <c r="A32" s="53" t="str">
        <f>IF(B32="","",IF(B32="Box",COUNTIF($B$7:B32,"Box"),TEXT(COUNTIF($B$7:B32,"Box"),"0")&amp;IF(B32="Plate","a",IF(B32="Part-L","b",IF(B32="Part-W","c","")))))</f>
        <v/>
      </c>
      <c r="B32" s="28"/>
      <c r="C32" s="28"/>
      <c r="D32" s="54"/>
      <c r="E32" s="54"/>
      <c r="F32" s="55" t="str">
        <f>IF(OR(B32="",B32="Box"),"",IF(B32="Plate",IFERROR(LOOKUP(2,1/(B$7:B31="Box"),F$7:F31)-5,""),""))</f>
        <v/>
      </c>
      <c r="G32" s="55" t="str">
        <f>IF(OR(B32="",B32="Box"),"",IF(B32="Plate",IFERROR(LOOKUP(2,1/(B$7:B31="Box"),G$7:G31)-5,""),IF(OR(B32="Part-L",B32="Part-W"),IFERROR(LOOKUP(2,1/(B$7:B31="Box"),H$7:H31)-15,""),"")))</f>
        <v/>
      </c>
      <c r="H32" s="28"/>
      <c r="I32" s="28"/>
      <c r="J32" s="28"/>
      <c r="K32" s="28"/>
      <c r="L32" s="56" t="str">
        <f>IFERROR(INDEX(DEFAULTS!$E:$E,MATCH(I32,DEFAULTS!$A:$A,0)),"")</f>
        <v/>
      </c>
      <c r="M32" s="56" t="str">
        <f>IFERROR(INDEX(DEFAULTS!$F:$F,MATCH(I32,DEFAULTS!$A:$A,0)),"")</f>
        <v/>
      </c>
      <c r="N32" s="56" t="str">
        <f>IFERROR(INDEX(DEFAULTS!$G:$G,MATCH(I32,DEFAULTS!$A:$A,0)),"")</f>
        <v/>
      </c>
      <c r="O32" s="56" t="str">
        <f>IFERROR(INDEX(DEFAULTS!$H:$H,MATCH(I32,DEFAULTS!$A:$A,0)),"")</f>
        <v/>
      </c>
      <c r="P32" s="57" t="str">
        <f t="shared" si="0"/>
        <v/>
      </c>
      <c r="Q32" s="57" t="str">
        <f t="shared" si="1"/>
        <v/>
      </c>
      <c r="R32" s="58" t="str">
        <f t="shared" si="2"/>
        <v/>
      </c>
      <c r="S32" s="28"/>
      <c r="T32" s="57">
        <f>IFERROR(AE32+AG32*IF(AB32="",1,IFERROR(VLOOKUP(AB32,DEFAULTS!$M$3:$Q$6,IFERROR(MATCH($B$3,DEFAULTS!$N$2:$Q$2,0)+1,2),0),1))+AI32+AK32*IF(AC32="",1,IFERROR(VLOOKUP(AC32,DEFAULTS!$M$3:$Q$6,IFERROR(MATCH($B$3,DEFAULTS!$N$2:$Q$2,0)+1,2),0),1))+AM32,"")</f>
        <v>0</v>
      </c>
      <c r="U32" s="28"/>
      <c r="V32" s="59">
        <f t="shared" si="3"/>
        <v>0</v>
      </c>
      <c r="W32" s="28"/>
      <c r="X32" s="28"/>
      <c r="Y32" s="28"/>
      <c r="Z32" s="28"/>
      <c r="AA32" s="57">
        <f t="shared" si="16"/>
        <v>0</v>
      </c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60" t="str">
        <f>IFERROR(VLOOKUP(AD32,'RATE MASTER'!$A:$G,7,0)+IFERROR(VLOOKUP(AE32,'RATE MASTER'!$K$7:$M$10,3,1),0),"")</f>
        <v/>
      </c>
      <c r="AO32" s="60" t="str">
        <f>IFERROR(VLOOKUP(AF32,'RATE MASTER'!$A:$G,7,0)+IFERROR(VLOOKUP(AG32,'RATE MASTER'!$K$7:$M$10,3,1),0),"")</f>
        <v/>
      </c>
      <c r="AP32" s="60" t="str">
        <f>IFERROR(VLOOKUP(AH32,'RATE MASTER'!$A:$G,7,0)+IFERROR(VLOOKUP(AI32,'RATE MASTER'!$K$7:$M$10,3,1),0),"")</f>
        <v/>
      </c>
      <c r="AQ32" s="60" t="str">
        <f>IFERROR(VLOOKUP(AJ32,'RATE MASTER'!$A:$G,7,0)+IFERROR(VLOOKUP(AK32,'RATE MASTER'!$K$7:$M$10,3,1),0),"")</f>
        <v/>
      </c>
      <c r="AR32" s="60" t="str">
        <f>IFERROR(VLOOKUP(AL32,'RATE MASTER'!$A:$G,7,0)+IFERROR(VLOOKUP(AM32,'RATE MASTER'!$K$7:$M$10,3,1),0),"")</f>
        <v/>
      </c>
      <c r="AS32" s="61">
        <f t="shared" si="17"/>
        <v>0</v>
      </c>
      <c r="AT32" s="61">
        <f>IFERROR((AG32/1000)*R32*IF(AB32="",1,IFERROR(VLOOKUP(AB32,DEFAULTS!$M$3:$Q$6,IFERROR(MATCH($B$3,DEFAULTS!$N$2:$Q$2,0)+1,2),0),1))*(1+IF(B32="Box",$AY$3,$AY$4)),0)</f>
        <v>0</v>
      </c>
      <c r="AU32" s="61">
        <f t="shared" si="18"/>
        <v>0</v>
      </c>
      <c r="AV32" s="61">
        <f>IFERROR((AK32/1000)*R32*IF(AC32="",1,IFERROR(VLOOKUP(AC32,DEFAULTS!$M$3:$Q$6,IFERROR(MATCH($B$3,DEFAULTS!$N$2:$Q$2,0)+1,2),0),1))*(1+IF(B32="Box",$AY$3,$AY$4)),0)</f>
        <v>0</v>
      </c>
      <c r="AW32" s="61">
        <f t="shared" si="19"/>
        <v>0</v>
      </c>
      <c r="AX32" s="62">
        <f t="shared" si="4"/>
        <v>0</v>
      </c>
      <c r="AY32" s="62">
        <f t="shared" si="5"/>
        <v>0</v>
      </c>
      <c r="AZ32" s="63">
        <f t="shared" si="6"/>
        <v>0</v>
      </c>
      <c r="BA32" s="8">
        <f t="shared" si="7"/>
        <v>0</v>
      </c>
      <c r="BB32" s="8"/>
      <c r="BC32" s="8"/>
      <c r="BD32" s="8"/>
      <c r="BE32" s="8"/>
      <c r="BF32" s="8"/>
      <c r="BG32" s="8"/>
      <c r="BH32" s="8"/>
      <c r="BI32" s="8"/>
      <c r="BJ32" s="8">
        <f t="shared" si="8"/>
        <v>0</v>
      </c>
      <c r="BK32" s="8">
        <f>IFERROR(AY32*IFERROR(IF($BK$4="",VLOOKUP(E32,DEFAULTS!$S$3:$V$20,IFERROR(MATCH($B$3,DEFAULTS!$T$3:$V$3,0)+1,2),0),$BK$4),0),0)</f>
        <v>0</v>
      </c>
      <c r="BL32" s="63">
        <f t="shared" si="9"/>
        <v>0</v>
      </c>
      <c r="BM32" s="45">
        <f t="shared" si="20"/>
        <v>0.02</v>
      </c>
      <c r="BN32" s="8">
        <f t="shared" si="10"/>
        <v>0</v>
      </c>
      <c r="BO32" s="64">
        <f t="shared" si="11"/>
        <v>0</v>
      </c>
      <c r="BP32" s="8" t="str">
        <f t="shared" si="12"/>
        <v/>
      </c>
      <c r="BQ32" s="57" t="str">
        <f t="shared" si="13"/>
        <v/>
      </c>
      <c r="BR32" s="57"/>
      <c r="BS32" s="57" t="str">
        <f t="shared" si="14"/>
        <v/>
      </c>
      <c r="BT32" s="8" t="str">
        <f t="shared" si="15"/>
        <v/>
      </c>
    </row>
    <row r="33" spans="1:72" ht="15" customHeight="1" x14ac:dyDescent="0.45">
      <c r="A33" s="53" t="str">
        <f>IF(B33="","",IF(B33="Box",COUNTIF($B$7:B33,"Box"),TEXT(COUNTIF($B$7:B33,"Box"),"0")&amp;IF(B33="Plate","a",IF(B33="Part-L","b",IF(B33="Part-W","c","")))))</f>
        <v/>
      </c>
      <c r="B33" s="28"/>
      <c r="C33" s="28"/>
      <c r="D33" s="54"/>
      <c r="E33" s="54"/>
      <c r="F33" s="55" t="str">
        <f>IF(OR(B33="",B33="Box"),"",IF(B33="Plate",IFERROR(LOOKUP(2,1/(B$7:B32="Box"),F$7:F32)-5,""),""))</f>
        <v/>
      </c>
      <c r="G33" s="55" t="str">
        <f>IF(OR(B33="",B33="Box"),"",IF(B33="Plate",IFERROR(LOOKUP(2,1/(B$7:B32="Box"),G$7:G32)-5,""),IF(OR(B33="Part-L",B33="Part-W"),IFERROR(LOOKUP(2,1/(B$7:B32="Box"),H$7:H32)-15,""),"")))</f>
        <v/>
      </c>
      <c r="H33" s="28"/>
      <c r="I33" s="28"/>
      <c r="J33" s="28"/>
      <c r="K33" s="28"/>
      <c r="L33" s="56" t="str">
        <f>IFERROR(INDEX(DEFAULTS!$E:$E,MATCH(I33,DEFAULTS!$A:$A,0)),"")</f>
        <v/>
      </c>
      <c r="M33" s="56" t="str">
        <f>IFERROR(INDEX(DEFAULTS!$F:$F,MATCH(I33,DEFAULTS!$A:$A,0)),"")</f>
        <v/>
      </c>
      <c r="N33" s="56" t="str">
        <f>IFERROR(INDEX(DEFAULTS!$G:$G,MATCH(I33,DEFAULTS!$A:$A,0)),"")</f>
        <v/>
      </c>
      <c r="O33" s="56" t="str">
        <f>IFERROR(INDEX(DEFAULTS!$H:$H,MATCH(I33,DEFAULTS!$A:$A,0)),"")</f>
        <v/>
      </c>
      <c r="P33" s="57" t="str">
        <f t="shared" si="0"/>
        <v/>
      </c>
      <c r="Q33" s="57" t="str">
        <f t="shared" si="1"/>
        <v/>
      </c>
      <c r="R33" s="58" t="str">
        <f t="shared" si="2"/>
        <v/>
      </c>
      <c r="S33" s="28"/>
      <c r="T33" s="57">
        <f>IFERROR(AE33+AG33*IF(AB33="",1,IFERROR(VLOOKUP(AB33,DEFAULTS!$M$3:$Q$6,IFERROR(MATCH($B$3,DEFAULTS!$N$2:$Q$2,0)+1,2),0),1))+AI33+AK33*IF(AC33="",1,IFERROR(VLOOKUP(AC33,DEFAULTS!$M$3:$Q$6,IFERROR(MATCH($B$3,DEFAULTS!$N$2:$Q$2,0)+1,2),0),1))+AM33,"")</f>
        <v>0</v>
      </c>
      <c r="U33" s="28"/>
      <c r="V33" s="59">
        <f t="shared" si="3"/>
        <v>0</v>
      </c>
      <c r="W33" s="28"/>
      <c r="X33" s="28"/>
      <c r="Y33" s="28"/>
      <c r="Z33" s="28"/>
      <c r="AA33" s="57">
        <f t="shared" si="16"/>
        <v>0</v>
      </c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60" t="str">
        <f>IFERROR(VLOOKUP(AD33,'RATE MASTER'!$A:$G,7,0)+IFERROR(VLOOKUP(AE33,'RATE MASTER'!$K$7:$M$10,3,1),0),"")</f>
        <v/>
      </c>
      <c r="AO33" s="60" t="str">
        <f>IFERROR(VLOOKUP(AF33,'RATE MASTER'!$A:$G,7,0)+IFERROR(VLOOKUP(AG33,'RATE MASTER'!$K$7:$M$10,3,1),0),"")</f>
        <v/>
      </c>
      <c r="AP33" s="60" t="str">
        <f>IFERROR(VLOOKUP(AH33,'RATE MASTER'!$A:$G,7,0)+IFERROR(VLOOKUP(AI33,'RATE MASTER'!$K$7:$M$10,3,1),0),"")</f>
        <v/>
      </c>
      <c r="AQ33" s="60" t="str">
        <f>IFERROR(VLOOKUP(AJ33,'RATE MASTER'!$A:$G,7,0)+IFERROR(VLOOKUP(AK33,'RATE MASTER'!$K$7:$M$10,3,1),0),"")</f>
        <v/>
      </c>
      <c r="AR33" s="60" t="str">
        <f>IFERROR(VLOOKUP(AL33,'RATE MASTER'!$A:$G,7,0)+IFERROR(VLOOKUP(AM33,'RATE MASTER'!$K$7:$M$10,3,1),0),"")</f>
        <v/>
      </c>
      <c r="AS33" s="61">
        <f t="shared" si="17"/>
        <v>0</v>
      </c>
      <c r="AT33" s="61">
        <f>IFERROR((AG33/1000)*R33*IF(AB33="",1,IFERROR(VLOOKUP(AB33,DEFAULTS!$M$3:$Q$6,IFERROR(MATCH($B$3,DEFAULTS!$N$2:$Q$2,0)+1,2),0),1))*(1+IF(B33="Box",$AY$3,$AY$4)),0)</f>
        <v>0</v>
      </c>
      <c r="AU33" s="61">
        <f t="shared" si="18"/>
        <v>0</v>
      </c>
      <c r="AV33" s="61">
        <f>IFERROR((AK33/1000)*R33*IF(AC33="",1,IFERROR(VLOOKUP(AC33,DEFAULTS!$M$3:$Q$6,IFERROR(MATCH($B$3,DEFAULTS!$N$2:$Q$2,0)+1,2),0),1))*(1+IF(B33="Box",$AY$3,$AY$4)),0)</f>
        <v>0</v>
      </c>
      <c r="AW33" s="61">
        <f t="shared" si="19"/>
        <v>0</v>
      </c>
      <c r="AX33" s="62">
        <f t="shared" si="4"/>
        <v>0</v>
      </c>
      <c r="AY33" s="62">
        <f t="shared" si="5"/>
        <v>0</v>
      </c>
      <c r="AZ33" s="63">
        <f t="shared" si="6"/>
        <v>0</v>
      </c>
      <c r="BA33" s="8">
        <f t="shared" si="7"/>
        <v>0</v>
      </c>
      <c r="BB33" s="8"/>
      <c r="BC33" s="8"/>
      <c r="BD33" s="8"/>
      <c r="BE33" s="8"/>
      <c r="BF33" s="8"/>
      <c r="BG33" s="8"/>
      <c r="BH33" s="8"/>
      <c r="BI33" s="8"/>
      <c r="BJ33" s="8">
        <f t="shared" si="8"/>
        <v>0</v>
      </c>
      <c r="BK33" s="8">
        <f>IFERROR(AY33*IFERROR(IF($BK$4="",VLOOKUP(E33,DEFAULTS!$S$3:$V$20,IFERROR(MATCH($B$3,DEFAULTS!$T$3:$V$3,0)+1,2),0),$BK$4),0),0)</f>
        <v>0</v>
      </c>
      <c r="BL33" s="63">
        <f t="shared" si="9"/>
        <v>0</v>
      </c>
      <c r="BM33" s="45">
        <f t="shared" si="20"/>
        <v>0.02</v>
      </c>
      <c r="BN33" s="8">
        <f t="shared" si="10"/>
        <v>0</v>
      </c>
      <c r="BO33" s="64">
        <f t="shared" si="11"/>
        <v>0</v>
      </c>
      <c r="BP33" s="8" t="str">
        <f t="shared" si="12"/>
        <v/>
      </c>
      <c r="BQ33" s="57" t="str">
        <f t="shared" si="13"/>
        <v/>
      </c>
      <c r="BR33" s="57"/>
      <c r="BS33" s="57" t="str">
        <f t="shared" si="14"/>
        <v/>
      </c>
      <c r="BT33" s="8" t="str">
        <f t="shared" si="15"/>
        <v/>
      </c>
    </row>
    <row r="34" spans="1:72" ht="15" customHeight="1" x14ac:dyDescent="0.45">
      <c r="A34" s="53" t="str">
        <f>IF(B34="","",IF(B34="Box",COUNTIF($B$7:B34,"Box"),TEXT(COUNTIF($B$7:B34,"Box"),"0")&amp;IF(B34="Plate","a",IF(B34="Part-L","b",IF(B34="Part-W","c","")))))</f>
        <v/>
      </c>
      <c r="B34" s="28"/>
      <c r="C34" s="28"/>
      <c r="D34" s="54"/>
      <c r="E34" s="54"/>
      <c r="F34" s="55" t="str">
        <f>IF(OR(B34="",B34="Box"),"",IF(B34="Plate",IFERROR(LOOKUP(2,1/(B$7:B33="Box"),F$7:F33)-5,""),""))</f>
        <v/>
      </c>
      <c r="G34" s="55" t="str">
        <f>IF(OR(B34="",B34="Box"),"",IF(B34="Plate",IFERROR(LOOKUP(2,1/(B$7:B33="Box"),G$7:G33)-5,""),IF(OR(B34="Part-L",B34="Part-W"),IFERROR(LOOKUP(2,1/(B$7:B33="Box"),H$7:H33)-15,""),"")))</f>
        <v/>
      </c>
      <c r="H34" s="28"/>
      <c r="I34" s="28"/>
      <c r="J34" s="28"/>
      <c r="K34" s="28"/>
      <c r="L34" s="56" t="str">
        <f>IFERROR(INDEX(DEFAULTS!$E:$E,MATCH(I34,DEFAULTS!$A:$A,0)),"")</f>
        <v/>
      </c>
      <c r="M34" s="56" t="str">
        <f>IFERROR(INDEX(DEFAULTS!$F:$F,MATCH(I34,DEFAULTS!$A:$A,0)),"")</f>
        <v/>
      </c>
      <c r="N34" s="56" t="str">
        <f>IFERROR(INDEX(DEFAULTS!$G:$G,MATCH(I34,DEFAULTS!$A:$A,0)),"")</f>
        <v/>
      </c>
      <c r="O34" s="56" t="str">
        <f>IFERROR(INDEX(DEFAULTS!$H:$H,MATCH(I34,DEFAULTS!$A:$A,0)),"")</f>
        <v/>
      </c>
      <c r="P34" s="57" t="str">
        <f t="shared" si="0"/>
        <v/>
      </c>
      <c r="Q34" s="57" t="str">
        <f t="shared" si="1"/>
        <v/>
      </c>
      <c r="R34" s="58" t="str">
        <f t="shared" si="2"/>
        <v/>
      </c>
      <c r="S34" s="28"/>
      <c r="T34" s="57">
        <f>IFERROR(AE34+AG34*IF(AB34="",1,IFERROR(VLOOKUP(AB34,DEFAULTS!$M$3:$Q$6,IFERROR(MATCH($B$3,DEFAULTS!$N$2:$Q$2,0)+1,2),0),1))+AI34+AK34*IF(AC34="",1,IFERROR(VLOOKUP(AC34,DEFAULTS!$M$3:$Q$6,IFERROR(MATCH($B$3,DEFAULTS!$N$2:$Q$2,0)+1,2),0),1))+AM34,"")</f>
        <v>0</v>
      </c>
      <c r="U34" s="28"/>
      <c r="V34" s="59">
        <f t="shared" si="3"/>
        <v>0</v>
      </c>
      <c r="W34" s="28"/>
      <c r="X34" s="28"/>
      <c r="Y34" s="28"/>
      <c r="Z34" s="28"/>
      <c r="AA34" s="57">
        <f t="shared" si="16"/>
        <v>0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60" t="str">
        <f>IFERROR(VLOOKUP(AD34,'RATE MASTER'!$A:$G,7,0)+IFERROR(VLOOKUP(AE34,'RATE MASTER'!$K$7:$M$10,3,1),0),"")</f>
        <v/>
      </c>
      <c r="AO34" s="60" t="str">
        <f>IFERROR(VLOOKUP(AF34,'RATE MASTER'!$A:$G,7,0)+IFERROR(VLOOKUP(AG34,'RATE MASTER'!$K$7:$M$10,3,1),0),"")</f>
        <v/>
      </c>
      <c r="AP34" s="60" t="str">
        <f>IFERROR(VLOOKUP(AH34,'RATE MASTER'!$A:$G,7,0)+IFERROR(VLOOKUP(AI34,'RATE MASTER'!$K$7:$M$10,3,1),0),"")</f>
        <v/>
      </c>
      <c r="AQ34" s="60" t="str">
        <f>IFERROR(VLOOKUP(AJ34,'RATE MASTER'!$A:$G,7,0)+IFERROR(VLOOKUP(AK34,'RATE MASTER'!$K$7:$M$10,3,1),0),"")</f>
        <v/>
      </c>
      <c r="AR34" s="60" t="str">
        <f>IFERROR(VLOOKUP(AL34,'RATE MASTER'!$A:$G,7,0)+IFERROR(VLOOKUP(AM34,'RATE MASTER'!$K$7:$M$10,3,1),0),"")</f>
        <v/>
      </c>
      <c r="AS34" s="61">
        <f t="shared" si="17"/>
        <v>0</v>
      </c>
      <c r="AT34" s="61">
        <f>IFERROR((AG34/1000)*R34*IF(AB34="",1,IFERROR(VLOOKUP(AB34,DEFAULTS!$M$3:$Q$6,IFERROR(MATCH($B$3,DEFAULTS!$N$2:$Q$2,0)+1,2),0),1))*(1+IF(B34="Box",$AY$3,$AY$4)),0)</f>
        <v>0</v>
      </c>
      <c r="AU34" s="61">
        <f t="shared" si="18"/>
        <v>0</v>
      </c>
      <c r="AV34" s="61">
        <f>IFERROR((AK34/1000)*R34*IF(AC34="",1,IFERROR(VLOOKUP(AC34,DEFAULTS!$M$3:$Q$6,IFERROR(MATCH($B$3,DEFAULTS!$N$2:$Q$2,0)+1,2),0),1))*(1+IF(B34="Box",$AY$3,$AY$4)),0)</f>
        <v>0</v>
      </c>
      <c r="AW34" s="61">
        <f t="shared" si="19"/>
        <v>0</v>
      </c>
      <c r="AX34" s="62">
        <f t="shared" si="4"/>
        <v>0</v>
      </c>
      <c r="AY34" s="62">
        <f t="shared" si="5"/>
        <v>0</v>
      </c>
      <c r="AZ34" s="63">
        <f t="shared" si="6"/>
        <v>0</v>
      </c>
      <c r="BA34" s="8">
        <f t="shared" si="7"/>
        <v>0</v>
      </c>
      <c r="BB34" s="8"/>
      <c r="BC34" s="8"/>
      <c r="BD34" s="8"/>
      <c r="BE34" s="8"/>
      <c r="BF34" s="8"/>
      <c r="BG34" s="8"/>
      <c r="BH34" s="8"/>
      <c r="BI34" s="8"/>
      <c r="BJ34" s="8">
        <f t="shared" si="8"/>
        <v>0</v>
      </c>
      <c r="BK34" s="8">
        <f>IFERROR(AY34*IFERROR(IF($BK$4="",VLOOKUP(E34,DEFAULTS!$S$3:$V$20,IFERROR(MATCH($B$3,DEFAULTS!$T$3:$V$3,0)+1,2),0),$BK$4),0),0)</f>
        <v>0</v>
      </c>
      <c r="BL34" s="63">
        <f t="shared" si="9"/>
        <v>0</v>
      </c>
      <c r="BM34" s="45">
        <f t="shared" si="20"/>
        <v>0.02</v>
      </c>
      <c r="BN34" s="8">
        <f t="shared" si="10"/>
        <v>0</v>
      </c>
      <c r="BO34" s="64">
        <f t="shared" si="11"/>
        <v>0</v>
      </c>
      <c r="BP34" s="8" t="str">
        <f t="shared" si="12"/>
        <v/>
      </c>
      <c r="BQ34" s="57" t="str">
        <f t="shared" si="13"/>
        <v/>
      </c>
      <c r="BR34" s="57"/>
      <c r="BS34" s="57" t="str">
        <f t="shared" si="14"/>
        <v/>
      </c>
      <c r="BT34" s="8" t="str">
        <f t="shared" si="15"/>
        <v/>
      </c>
    </row>
    <row r="35" spans="1:72" ht="15" customHeight="1" x14ac:dyDescent="0.45">
      <c r="A35" s="53" t="str">
        <f>IF(B35="","",IF(B35="Box",COUNTIF($B$7:B35,"Box"),TEXT(COUNTIF($B$7:B35,"Box"),"0")&amp;IF(B35="Plate","a",IF(B35="Part-L","b",IF(B35="Part-W","c","")))))</f>
        <v/>
      </c>
      <c r="B35" s="28"/>
      <c r="C35" s="28"/>
      <c r="D35" s="54"/>
      <c r="E35" s="54"/>
      <c r="F35" s="55" t="str">
        <f>IF(OR(B35="",B35="Box"),"",IF(B35="Plate",IFERROR(LOOKUP(2,1/(B$7:B34="Box"),F$7:F34)-5,""),""))</f>
        <v/>
      </c>
      <c r="G35" s="55" t="str">
        <f>IF(OR(B35="",B35="Box"),"",IF(B35="Plate",IFERROR(LOOKUP(2,1/(B$7:B34="Box"),G$7:G34)-5,""),IF(OR(B35="Part-L",B35="Part-W"),IFERROR(LOOKUP(2,1/(B$7:B34="Box"),H$7:H34)-15,""),"")))</f>
        <v/>
      </c>
      <c r="H35" s="28"/>
      <c r="I35" s="28"/>
      <c r="J35" s="28"/>
      <c r="K35" s="28"/>
      <c r="L35" s="56" t="str">
        <f>IFERROR(INDEX(DEFAULTS!$E:$E,MATCH(I35,DEFAULTS!$A:$A,0)),"")</f>
        <v/>
      </c>
      <c r="M35" s="56" t="str">
        <f>IFERROR(INDEX(DEFAULTS!$F:$F,MATCH(I35,DEFAULTS!$A:$A,0)),"")</f>
        <v/>
      </c>
      <c r="N35" s="56" t="str">
        <f>IFERROR(INDEX(DEFAULTS!$G:$G,MATCH(I35,DEFAULTS!$A:$A,0)),"")</f>
        <v/>
      </c>
      <c r="O35" s="56" t="str">
        <f>IFERROR(INDEX(DEFAULTS!$H:$H,MATCH(I35,DEFAULTS!$A:$A,0)),"")</f>
        <v/>
      </c>
      <c r="P35" s="57" t="str">
        <f t="shared" si="0"/>
        <v/>
      </c>
      <c r="Q35" s="57" t="str">
        <f t="shared" si="1"/>
        <v/>
      </c>
      <c r="R35" s="58" t="str">
        <f t="shared" si="2"/>
        <v/>
      </c>
      <c r="S35" s="28"/>
      <c r="T35" s="57">
        <f>IFERROR(AE35+AG35*IF(AB35="",1,IFERROR(VLOOKUP(AB35,DEFAULTS!$M$3:$Q$6,IFERROR(MATCH($B$3,DEFAULTS!$N$2:$Q$2,0)+1,2),0),1))+AI35+AK35*IF(AC35="",1,IFERROR(VLOOKUP(AC35,DEFAULTS!$M$3:$Q$6,IFERROR(MATCH($B$3,DEFAULTS!$N$2:$Q$2,0)+1,2),0),1))+AM35,"")</f>
        <v>0</v>
      </c>
      <c r="U35" s="28"/>
      <c r="V35" s="59">
        <f t="shared" si="3"/>
        <v>0</v>
      </c>
      <c r="W35" s="28"/>
      <c r="X35" s="28"/>
      <c r="Y35" s="28"/>
      <c r="Z35" s="28"/>
      <c r="AA35" s="57">
        <f t="shared" si="16"/>
        <v>0</v>
      </c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60" t="str">
        <f>IFERROR(VLOOKUP(AD35,'RATE MASTER'!$A:$G,7,0)+IFERROR(VLOOKUP(AE35,'RATE MASTER'!$K$7:$M$10,3,1),0),"")</f>
        <v/>
      </c>
      <c r="AO35" s="60" t="str">
        <f>IFERROR(VLOOKUP(AF35,'RATE MASTER'!$A:$G,7,0)+IFERROR(VLOOKUP(AG35,'RATE MASTER'!$K$7:$M$10,3,1),0),"")</f>
        <v/>
      </c>
      <c r="AP35" s="60" t="str">
        <f>IFERROR(VLOOKUP(AH35,'RATE MASTER'!$A:$G,7,0)+IFERROR(VLOOKUP(AI35,'RATE MASTER'!$K$7:$M$10,3,1),0),"")</f>
        <v/>
      </c>
      <c r="AQ35" s="60" t="str">
        <f>IFERROR(VLOOKUP(AJ35,'RATE MASTER'!$A:$G,7,0)+IFERROR(VLOOKUP(AK35,'RATE MASTER'!$K$7:$M$10,3,1),0),"")</f>
        <v/>
      </c>
      <c r="AR35" s="60" t="str">
        <f>IFERROR(VLOOKUP(AL35,'RATE MASTER'!$A:$G,7,0)+IFERROR(VLOOKUP(AM35,'RATE MASTER'!$K$7:$M$10,3,1),0),"")</f>
        <v/>
      </c>
      <c r="AS35" s="61">
        <f t="shared" si="17"/>
        <v>0</v>
      </c>
      <c r="AT35" s="61">
        <f>IFERROR((AG35/1000)*R35*IF(AB35="",1,IFERROR(VLOOKUP(AB35,DEFAULTS!$M$3:$Q$6,IFERROR(MATCH($B$3,DEFAULTS!$N$2:$Q$2,0)+1,2),0),1))*(1+IF(B35="Box",$AY$3,$AY$4)),0)</f>
        <v>0</v>
      </c>
      <c r="AU35" s="61">
        <f t="shared" si="18"/>
        <v>0</v>
      </c>
      <c r="AV35" s="61">
        <f>IFERROR((AK35/1000)*R35*IF(AC35="",1,IFERROR(VLOOKUP(AC35,DEFAULTS!$M$3:$Q$6,IFERROR(MATCH($B$3,DEFAULTS!$N$2:$Q$2,0)+1,2),0),1))*(1+IF(B35="Box",$AY$3,$AY$4)),0)</f>
        <v>0</v>
      </c>
      <c r="AW35" s="61">
        <f t="shared" si="19"/>
        <v>0</v>
      </c>
      <c r="AX35" s="62">
        <f t="shared" si="4"/>
        <v>0</v>
      </c>
      <c r="AY35" s="62">
        <f t="shared" si="5"/>
        <v>0</v>
      </c>
      <c r="AZ35" s="63">
        <f t="shared" si="6"/>
        <v>0</v>
      </c>
      <c r="BA35" s="8">
        <f t="shared" si="7"/>
        <v>0</v>
      </c>
      <c r="BB35" s="8"/>
      <c r="BC35" s="8"/>
      <c r="BD35" s="8"/>
      <c r="BE35" s="8"/>
      <c r="BF35" s="8"/>
      <c r="BG35" s="8"/>
      <c r="BH35" s="8"/>
      <c r="BI35" s="8"/>
      <c r="BJ35" s="8">
        <f t="shared" si="8"/>
        <v>0</v>
      </c>
      <c r="BK35" s="8">
        <f>IFERROR(AY35*IFERROR(IF($BK$4="",VLOOKUP(E35,DEFAULTS!$S$3:$V$20,IFERROR(MATCH($B$3,DEFAULTS!$T$3:$V$3,0)+1,2),0),$BK$4),0),0)</f>
        <v>0</v>
      </c>
      <c r="BL35" s="63">
        <f t="shared" si="9"/>
        <v>0</v>
      </c>
      <c r="BM35" s="45">
        <f t="shared" si="20"/>
        <v>0.02</v>
      </c>
      <c r="BN35" s="8">
        <f t="shared" si="10"/>
        <v>0</v>
      </c>
      <c r="BO35" s="64">
        <f t="shared" si="11"/>
        <v>0</v>
      </c>
      <c r="BP35" s="8" t="str">
        <f t="shared" si="12"/>
        <v/>
      </c>
      <c r="BQ35" s="57" t="str">
        <f t="shared" si="13"/>
        <v/>
      </c>
      <c r="BR35" s="57"/>
      <c r="BS35" s="57" t="str">
        <f t="shared" si="14"/>
        <v/>
      </c>
      <c r="BT35" s="8" t="str">
        <f t="shared" si="15"/>
        <v/>
      </c>
    </row>
    <row r="36" spans="1:72" ht="15" customHeight="1" x14ac:dyDescent="0.45">
      <c r="A36" s="53" t="str">
        <f>IF(B36="","",IF(B36="Box",COUNTIF($B$7:B36,"Box"),TEXT(COUNTIF($B$7:B36,"Box"),"0")&amp;IF(B36="Plate","a",IF(B36="Part-L","b",IF(B36="Part-W","c","")))))</f>
        <v/>
      </c>
      <c r="B36" s="28"/>
      <c r="C36" s="28"/>
      <c r="D36" s="54"/>
      <c r="E36" s="54"/>
      <c r="F36" s="55" t="str">
        <f>IF(OR(B36="",B36="Box"),"",IF(B36="Plate",IFERROR(LOOKUP(2,1/(B$7:B35="Box"),F$7:F35)-5,""),""))</f>
        <v/>
      </c>
      <c r="G36" s="55" t="str">
        <f>IF(OR(B36="",B36="Box"),"",IF(B36="Plate",IFERROR(LOOKUP(2,1/(B$7:B35="Box"),G$7:G35)-5,""),IF(OR(B36="Part-L",B36="Part-W"),IFERROR(LOOKUP(2,1/(B$7:B35="Box"),H$7:H35)-15,""),"")))</f>
        <v/>
      </c>
      <c r="H36" s="28"/>
      <c r="I36" s="28"/>
      <c r="J36" s="28"/>
      <c r="K36" s="28"/>
      <c r="L36" s="56" t="str">
        <f>IFERROR(INDEX(DEFAULTS!$E:$E,MATCH(I36,DEFAULTS!$A:$A,0)),"")</f>
        <v/>
      </c>
      <c r="M36" s="56" t="str">
        <f>IFERROR(INDEX(DEFAULTS!$F:$F,MATCH(I36,DEFAULTS!$A:$A,0)),"")</f>
        <v/>
      </c>
      <c r="N36" s="56" t="str">
        <f>IFERROR(INDEX(DEFAULTS!$G:$G,MATCH(I36,DEFAULTS!$A:$A,0)),"")</f>
        <v/>
      </c>
      <c r="O36" s="56" t="str">
        <f>IFERROR(INDEX(DEFAULTS!$H:$H,MATCH(I36,DEFAULTS!$A:$A,0)),"")</f>
        <v/>
      </c>
      <c r="P36" s="57" t="str">
        <f t="shared" si="0"/>
        <v/>
      </c>
      <c r="Q36" s="57" t="str">
        <f t="shared" si="1"/>
        <v/>
      </c>
      <c r="R36" s="58" t="str">
        <f t="shared" si="2"/>
        <v/>
      </c>
      <c r="S36" s="28"/>
      <c r="T36" s="57">
        <f>IFERROR(AE36+AG36*IF(AB36="",1,IFERROR(VLOOKUP(AB36,DEFAULTS!$M$3:$Q$6,IFERROR(MATCH($B$3,DEFAULTS!$N$2:$Q$2,0)+1,2),0),1))+AI36+AK36*IF(AC36="",1,IFERROR(VLOOKUP(AC36,DEFAULTS!$M$3:$Q$6,IFERROR(MATCH($B$3,DEFAULTS!$N$2:$Q$2,0)+1,2),0),1))+AM36,"")</f>
        <v>0</v>
      </c>
      <c r="U36" s="28"/>
      <c r="V36" s="59">
        <f t="shared" si="3"/>
        <v>0</v>
      </c>
      <c r="W36" s="28"/>
      <c r="X36" s="28"/>
      <c r="Y36" s="28"/>
      <c r="Z36" s="28"/>
      <c r="AA36" s="57">
        <f t="shared" si="16"/>
        <v>0</v>
      </c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60" t="str">
        <f>IFERROR(VLOOKUP(AD36,'RATE MASTER'!$A:$G,7,0)+IFERROR(VLOOKUP(AE36,'RATE MASTER'!$K$7:$M$10,3,1),0),"")</f>
        <v/>
      </c>
      <c r="AO36" s="60" t="str">
        <f>IFERROR(VLOOKUP(AF36,'RATE MASTER'!$A:$G,7,0)+IFERROR(VLOOKUP(AG36,'RATE MASTER'!$K$7:$M$10,3,1),0),"")</f>
        <v/>
      </c>
      <c r="AP36" s="60" t="str">
        <f>IFERROR(VLOOKUP(AH36,'RATE MASTER'!$A:$G,7,0)+IFERROR(VLOOKUP(AI36,'RATE MASTER'!$K$7:$M$10,3,1),0),"")</f>
        <v/>
      </c>
      <c r="AQ36" s="60" t="str">
        <f>IFERROR(VLOOKUP(AJ36,'RATE MASTER'!$A:$G,7,0)+IFERROR(VLOOKUP(AK36,'RATE MASTER'!$K$7:$M$10,3,1),0),"")</f>
        <v/>
      </c>
      <c r="AR36" s="60" t="str">
        <f>IFERROR(VLOOKUP(AL36,'RATE MASTER'!$A:$G,7,0)+IFERROR(VLOOKUP(AM36,'RATE MASTER'!$K$7:$M$10,3,1),0),"")</f>
        <v/>
      </c>
      <c r="AS36" s="61">
        <f t="shared" si="17"/>
        <v>0</v>
      </c>
      <c r="AT36" s="61">
        <f>IFERROR((AG36/1000)*R36*IF(AB36="",1,IFERROR(VLOOKUP(AB36,DEFAULTS!$M$3:$Q$6,IFERROR(MATCH($B$3,DEFAULTS!$N$2:$Q$2,0)+1,2),0),1))*(1+IF(B36="Box",$AY$3,$AY$4)),0)</f>
        <v>0</v>
      </c>
      <c r="AU36" s="61">
        <f t="shared" si="18"/>
        <v>0</v>
      </c>
      <c r="AV36" s="61">
        <f>IFERROR((AK36/1000)*R36*IF(AC36="",1,IFERROR(VLOOKUP(AC36,DEFAULTS!$M$3:$Q$6,IFERROR(MATCH($B$3,DEFAULTS!$N$2:$Q$2,0)+1,2),0),1))*(1+IF(B36="Box",$AY$3,$AY$4)),0)</f>
        <v>0</v>
      </c>
      <c r="AW36" s="61">
        <f t="shared" si="19"/>
        <v>0</v>
      </c>
      <c r="AX36" s="62">
        <f t="shared" si="4"/>
        <v>0</v>
      </c>
      <c r="AY36" s="62">
        <f t="shared" si="5"/>
        <v>0</v>
      </c>
      <c r="AZ36" s="63">
        <f t="shared" si="6"/>
        <v>0</v>
      </c>
      <c r="BA36" s="8">
        <f t="shared" si="7"/>
        <v>0</v>
      </c>
      <c r="BB36" s="8"/>
      <c r="BC36" s="8"/>
      <c r="BD36" s="8"/>
      <c r="BE36" s="8"/>
      <c r="BF36" s="8"/>
      <c r="BG36" s="8"/>
      <c r="BH36" s="8"/>
      <c r="BI36" s="8"/>
      <c r="BJ36" s="8">
        <f t="shared" si="8"/>
        <v>0</v>
      </c>
      <c r="BK36" s="8">
        <f>IFERROR(AY36*IFERROR(IF($BK$4="",VLOOKUP(E36,DEFAULTS!$S$3:$V$20,IFERROR(MATCH($B$3,DEFAULTS!$T$3:$V$3,0)+1,2),0),$BK$4),0),0)</f>
        <v>0</v>
      </c>
      <c r="BL36" s="63">
        <f t="shared" si="9"/>
        <v>0</v>
      </c>
      <c r="BM36" s="45">
        <f t="shared" si="20"/>
        <v>0.02</v>
      </c>
      <c r="BN36" s="8">
        <f t="shared" si="10"/>
        <v>0</v>
      </c>
      <c r="BO36" s="64">
        <f t="shared" si="11"/>
        <v>0</v>
      </c>
      <c r="BP36" s="8" t="str">
        <f t="shared" si="12"/>
        <v/>
      </c>
      <c r="BQ36" s="57" t="str">
        <f t="shared" si="13"/>
        <v/>
      </c>
      <c r="BR36" s="57"/>
      <c r="BS36" s="57" t="str">
        <f t="shared" si="14"/>
        <v/>
      </c>
      <c r="BT36" s="8" t="str">
        <f t="shared" si="15"/>
        <v/>
      </c>
    </row>
    <row r="37" spans="1:72" ht="15" customHeight="1" x14ac:dyDescent="0.45">
      <c r="A37" s="53" t="str">
        <f>IF(B37="","",IF(B37="Box",COUNTIF($B$7:B37,"Box"),TEXT(COUNTIF($B$7:B37,"Box"),"0")&amp;IF(B37="Plate","a",IF(B37="Part-L","b",IF(B37="Part-W","c","")))))</f>
        <v/>
      </c>
      <c r="B37" s="28"/>
      <c r="C37" s="28"/>
      <c r="D37" s="54"/>
      <c r="E37" s="54"/>
      <c r="F37" s="55" t="str">
        <f>IF(OR(B37="",B37="Box"),"",IF(B37="Plate",IFERROR(LOOKUP(2,1/(B$7:B36="Box"),F$7:F36)-5,""),""))</f>
        <v/>
      </c>
      <c r="G37" s="55" t="str">
        <f>IF(OR(B37="",B37="Box"),"",IF(B37="Plate",IFERROR(LOOKUP(2,1/(B$7:B36="Box"),G$7:G36)-5,""),IF(OR(B37="Part-L",B37="Part-W"),IFERROR(LOOKUP(2,1/(B$7:B36="Box"),H$7:H36)-15,""),"")))</f>
        <v/>
      </c>
      <c r="H37" s="28"/>
      <c r="I37" s="28"/>
      <c r="J37" s="28"/>
      <c r="K37" s="28"/>
      <c r="L37" s="56" t="str">
        <f>IFERROR(INDEX(DEFAULTS!$E:$E,MATCH(I37,DEFAULTS!$A:$A,0)),"")</f>
        <v/>
      </c>
      <c r="M37" s="56" t="str">
        <f>IFERROR(INDEX(DEFAULTS!$F:$F,MATCH(I37,DEFAULTS!$A:$A,0)),"")</f>
        <v/>
      </c>
      <c r="N37" s="56" t="str">
        <f>IFERROR(INDEX(DEFAULTS!$G:$G,MATCH(I37,DEFAULTS!$A:$A,0)),"")</f>
        <v/>
      </c>
      <c r="O37" s="56" t="str">
        <f>IFERROR(INDEX(DEFAULTS!$H:$H,MATCH(I37,DEFAULTS!$A:$A,0)),"")</f>
        <v/>
      </c>
      <c r="P37" s="57" t="str">
        <f t="shared" si="0"/>
        <v/>
      </c>
      <c r="Q37" s="57" t="str">
        <f t="shared" si="1"/>
        <v/>
      </c>
      <c r="R37" s="58" t="str">
        <f t="shared" si="2"/>
        <v/>
      </c>
      <c r="S37" s="28"/>
      <c r="T37" s="57">
        <f>IFERROR(AE37+AG37*IF(AB37="",1,IFERROR(VLOOKUP(AB37,DEFAULTS!$M$3:$Q$6,IFERROR(MATCH($B$3,DEFAULTS!$N$2:$Q$2,0)+1,2),0),1))+AI37+AK37*IF(AC37="",1,IFERROR(VLOOKUP(AC37,DEFAULTS!$M$3:$Q$6,IFERROR(MATCH($B$3,DEFAULTS!$N$2:$Q$2,0)+1,2),0),1))+AM37,"")</f>
        <v>0</v>
      </c>
      <c r="U37" s="28"/>
      <c r="V37" s="59">
        <f t="shared" si="3"/>
        <v>0</v>
      </c>
      <c r="W37" s="28"/>
      <c r="X37" s="28"/>
      <c r="Y37" s="28"/>
      <c r="Z37" s="28"/>
      <c r="AA37" s="57">
        <f t="shared" si="16"/>
        <v>0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60" t="str">
        <f>IFERROR(VLOOKUP(AD37,'RATE MASTER'!$A:$G,7,0)+IFERROR(VLOOKUP(AE37,'RATE MASTER'!$K$7:$M$10,3,1),0),"")</f>
        <v/>
      </c>
      <c r="AO37" s="60" t="str">
        <f>IFERROR(VLOOKUP(AF37,'RATE MASTER'!$A:$G,7,0)+IFERROR(VLOOKUP(AG37,'RATE MASTER'!$K$7:$M$10,3,1),0),"")</f>
        <v/>
      </c>
      <c r="AP37" s="60" t="str">
        <f>IFERROR(VLOOKUP(AH37,'RATE MASTER'!$A:$G,7,0)+IFERROR(VLOOKUP(AI37,'RATE MASTER'!$K$7:$M$10,3,1),0),"")</f>
        <v/>
      </c>
      <c r="AQ37" s="60" t="str">
        <f>IFERROR(VLOOKUP(AJ37,'RATE MASTER'!$A:$G,7,0)+IFERROR(VLOOKUP(AK37,'RATE MASTER'!$K$7:$M$10,3,1),0),"")</f>
        <v/>
      </c>
      <c r="AR37" s="60" t="str">
        <f>IFERROR(VLOOKUP(AL37,'RATE MASTER'!$A:$G,7,0)+IFERROR(VLOOKUP(AM37,'RATE MASTER'!$K$7:$M$10,3,1),0),"")</f>
        <v/>
      </c>
      <c r="AS37" s="61">
        <f t="shared" si="17"/>
        <v>0</v>
      </c>
      <c r="AT37" s="61">
        <f>IFERROR((AG37/1000)*R37*IF(AB37="",1,IFERROR(VLOOKUP(AB37,DEFAULTS!$M$3:$Q$6,IFERROR(MATCH($B$3,DEFAULTS!$N$2:$Q$2,0)+1,2),0),1))*(1+IF(B37="Box",$AY$3,$AY$4)),0)</f>
        <v>0</v>
      </c>
      <c r="AU37" s="61">
        <f t="shared" si="18"/>
        <v>0</v>
      </c>
      <c r="AV37" s="61">
        <f>IFERROR((AK37/1000)*R37*IF(AC37="",1,IFERROR(VLOOKUP(AC37,DEFAULTS!$M$3:$Q$6,IFERROR(MATCH($B$3,DEFAULTS!$N$2:$Q$2,0)+1,2),0),1))*(1+IF(B37="Box",$AY$3,$AY$4)),0)</f>
        <v>0</v>
      </c>
      <c r="AW37" s="61">
        <f t="shared" si="19"/>
        <v>0</v>
      </c>
      <c r="AX37" s="62">
        <f t="shared" si="4"/>
        <v>0</v>
      </c>
      <c r="AY37" s="62">
        <f t="shared" si="5"/>
        <v>0</v>
      </c>
      <c r="AZ37" s="63">
        <f t="shared" si="6"/>
        <v>0</v>
      </c>
      <c r="BA37" s="8">
        <f t="shared" si="7"/>
        <v>0</v>
      </c>
      <c r="BB37" s="8"/>
      <c r="BC37" s="8"/>
      <c r="BD37" s="8"/>
      <c r="BE37" s="8"/>
      <c r="BF37" s="8"/>
      <c r="BG37" s="8"/>
      <c r="BH37" s="8"/>
      <c r="BI37" s="8"/>
      <c r="BJ37" s="8">
        <f t="shared" si="8"/>
        <v>0</v>
      </c>
      <c r="BK37" s="8">
        <f>IFERROR(AY37*IFERROR(IF($BK$4="",VLOOKUP(E37,DEFAULTS!$S$3:$V$20,IFERROR(MATCH($B$3,DEFAULTS!$T$3:$V$3,0)+1,2),0),$BK$4),0),0)</f>
        <v>0</v>
      </c>
      <c r="BL37" s="63">
        <f t="shared" si="9"/>
        <v>0</v>
      </c>
      <c r="BM37" s="45">
        <f t="shared" si="20"/>
        <v>0.02</v>
      </c>
      <c r="BN37" s="8">
        <f t="shared" si="10"/>
        <v>0</v>
      </c>
      <c r="BO37" s="64">
        <f t="shared" si="11"/>
        <v>0</v>
      </c>
      <c r="BP37" s="8" t="str">
        <f t="shared" si="12"/>
        <v/>
      </c>
      <c r="BQ37" s="57" t="str">
        <f t="shared" si="13"/>
        <v/>
      </c>
      <c r="BR37" s="57"/>
      <c r="BS37" s="57" t="str">
        <f t="shared" si="14"/>
        <v/>
      </c>
      <c r="BT37" s="8" t="str">
        <f t="shared" si="15"/>
        <v/>
      </c>
    </row>
    <row r="38" spans="1:72" ht="15" customHeight="1" x14ac:dyDescent="0.45">
      <c r="A38" s="53" t="str">
        <f>IF(B38="","",IF(B38="Box",COUNTIF($B$7:B38,"Box"),TEXT(COUNTIF($B$7:B38,"Box"),"0")&amp;IF(B38="Plate","a",IF(B38="Part-L","b",IF(B38="Part-W","c","")))))</f>
        <v/>
      </c>
      <c r="B38" s="28"/>
      <c r="C38" s="28"/>
      <c r="D38" s="54"/>
      <c r="E38" s="54"/>
      <c r="F38" s="55" t="str">
        <f>IF(OR(B38="",B38="Box"),"",IF(B38="Plate",IFERROR(LOOKUP(2,1/(B$7:B37="Box"),F$7:F37)-5,""),""))</f>
        <v/>
      </c>
      <c r="G38" s="55" t="str">
        <f>IF(OR(B38="",B38="Box"),"",IF(B38="Plate",IFERROR(LOOKUP(2,1/(B$7:B37="Box"),G$7:G37)-5,""),IF(OR(B38="Part-L",B38="Part-W"),IFERROR(LOOKUP(2,1/(B$7:B37="Box"),H$7:H37)-15,""),"")))</f>
        <v/>
      </c>
      <c r="H38" s="28"/>
      <c r="I38" s="28"/>
      <c r="J38" s="28"/>
      <c r="K38" s="28"/>
      <c r="L38" s="56" t="str">
        <f>IFERROR(INDEX(DEFAULTS!$E:$E,MATCH(I38,DEFAULTS!$A:$A,0)),"")</f>
        <v/>
      </c>
      <c r="M38" s="56" t="str">
        <f>IFERROR(INDEX(DEFAULTS!$F:$F,MATCH(I38,DEFAULTS!$A:$A,0)),"")</f>
        <v/>
      </c>
      <c r="N38" s="56" t="str">
        <f>IFERROR(INDEX(DEFAULTS!$G:$G,MATCH(I38,DEFAULTS!$A:$A,0)),"")</f>
        <v/>
      </c>
      <c r="O38" s="56" t="str">
        <f>IFERROR(INDEX(DEFAULTS!$H:$H,MATCH(I38,DEFAULTS!$A:$A,0)),"")</f>
        <v/>
      </c>
      <c r="P38" s="57" t="str">
        <f t="shared" si="0"/>
        <v/>
      </c>
      <c r="Q38" s="57" t="str">
        <f t="shared" si="1"/>
        <v/>
      </c>
      <c r="R38" s="58" t="str">
        <f t="shared" si="2"/>
        <v/>
      </c>
      <c r="S38" s="28"/>
      <c r="T38" s="57">
        <f>IFERROR(AE38+AG38*IF(AB38="",1,IFERROR(VLOOKUP(AB38,DEFAULTS!$M$3:$Q$6,IFERROR(MATCH($B$3,DEFAULTS!$N$2:$Q$2,0)+1,2),0),1))+AI38+AK38*IF(AC38="",1,IFERROR(VLOOKUP(AC38,DEFAULTS!$M$3:$Q$6,IFERROR(MATCH($B$3,DEFAULTS!$N$2:$Q$2,0)+1,2),0),1))+AM38,"")</f>
        <v>0</v>
      </c>
      <c r="U38" s="28"/>
      <c r="V38" s="59">
        <f t="shared" si="3"/>
        <v>0</v>
      </c>
      <c r="W38" s="28"/>
      <c r="X38" s="28"/>
      <c r="Y38" s="28"/>
      <c r="Z38" s="28"/>
      <c r="AA38" s="57">
        <f t="shared" si="16"/>
        <v>0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60" t="str">
        <f>IFERROR(VLOOKUP(AD38,'RATE MASTER'!$A:$G,7,0)+IFERROR(VLOOKUP(AE38,'RATE MASTER'!$K$7:$M$10,3,1),0),"")</f>
        <v/>
      </c>
      <c r="AO38" s="60" t="str">
        <f>IFERROR(VLOOKUP(AF38,'RATE MASTER'!$A:$G,7,0)+IFERROR(VLOOKUP(AG38,'RATE MASTER'!$K$7:$M$10,3,1),0),"")</f>
        <v/>
      </c>
      <c r="AP38" s="60" t="str">
        <f>IFERROR(VLOOKUP(AH38,'RATE MASTER'!$A:$G,7,0)+IFERROR(VLOOKUP(AI38,'RATE MASTER'!$K$7:$M$10,3,1),0),"")</f>
        <v/>
      </c>
      <c r="AQ38" s="60" t="str">
        <f>IFERROR(VLOOKUP(AJ38,'RATE MASTER'!$A:$G,7,0)+IFERROR(VLOOKUP(AK38,'RATE MASTER'!$K$7:$M$10,3,1),0),"")</f>
        <v/>
      </c>
      <c r="AR38" s="60" t="str">
        <f>IFERROR(VLOOKUP(AL38,'RATE MASTER'!$A:$G,7,0)+IFERROR(VLOOKUP(AM38,'RATE MASTER'!$K$7:$M$10,3,1),0),"")</f>
        <v/>
      </c>
      <c r="AS38" s="61">
        <f t="shared" si="17"/>
        <v>0</v>
      </c>
      <c r="AT38" s="61">
        <f>IFERROR((AG38/1000)*R38*IF(AB38="",1,IFERROR(VLOOKUP(AB38,DEFAULTS!$M$3:$Q$6,IFERROR(MATCH($B$3,DEFAULTS!$N$2:$Q$2,0)+1,2),0),1))*(1+IF(B38="Box",$AY$3,$AY$4)),0)</f>
        <v>0</v>
      </c>
      <c r="AU38" s="61">
        <f t="shared" si="18"/>
        <v>0</v>
      </c>
      <c r="AV38" s="61">
        <f>IFERROR((AK38/1000)*R38*IF(AC38="",1,IFERROR(VLOOKUP(AC38,DEFAULTS!$M$3:$Q$6,IFERROR(MATCH($B$3,DEFAULTS!$N$2:$Q$2,0)+1,2),0),1))*(1+IF(B38="Box",$AY$3,$AY$4)),0)</f>
        <v>0</v>
      </c>
      <c r="AW38" s="61">
        <f t="shared" si="19"/>
        <v>0</v>
      </c>
      <c r="AX38" s="62">
        <f t="shared" si="4"/>
        <v>0</v>
      </c>
      <c r="AY38" s="62">
        <f t="shared" si="5"/>
        <v>0</v>
      </c>
      <c r="AZ38" s="63">
        <f t="shared" si="6"/>
        <v>0</v>
      </c>
      <c r="BA38" s="8">
        <f t="shared" si="7"/>
        <v>0</v>
      </c>
      <c r="BB38" s="8"/>
      <c r="BC38" s="8"/>
      <c r="BD38" s="8"/>
      <c r="BE38" s="8"/>
      <c r="BF38" s="8"/>
      <c r="BG38" s="8"/>
      <c r="BH38" s="8"/>
      <c r="BI38" s="8"/>
      <c r="BJ38" s="8">
        <f t="shared" si="8"/>
        <v>0</v>
      </c>
      <c r="BK38" s="8">
        <f>IFERROR(AY38*IFERROR(IF($BK$4="",VLOOKUP(E38,DEFAULTS!$S$3:$V$20,IFERROR(MATCH($B$3,DEFAULTS!$T$3:$V$3,0)+1,2),0),$BK$4),0),0)</f>
        <v>0</v>
      </c>
      <c r="BL38" s="63">
        <f t="shared" si="9"/>
        <v>0</v>
      </c>
      <c r="BM38" s="45">
        <f t="shared" si="20"/>
        <v>0.02</v>
      </c>
      <c r="BN38" s="8">
        <f t="shared" si="10"/>
        <v>0</v>
      </c>
      <c r="BO38" s="64">
        <f t="shared" si="11"/>
        <v>0</v>
      </c>
      <c r="BP38" s="8" t="str">
        <f t="shared" si="12"/>
        <v/>
      </c>
      <c r="BQ38" s="57" t="str">
        <f t="shared" si="13"/>
        <v/>
      </c>
      <c r="BR38" s="57"/>
      <c r="BS38" s="57" t="str">
        <f t="shared" si="14"/>
        <v/>
      </c>
      <c r="BT38" s="8" t="str">
        <f t="shared" si="15"/>
        <v/>
      </c>
    </row>
    <row r="39" spans="1:72" ht="15" customHeight="1" x14ac:dyDescent="0.45">
      <c r="A39" s="53" t="str">
        <f>IF(B39="","",IF(B39="Box",COUNTIF($B$7:B39,"Box"),TEXT(COUNTIF($B$7:B39,"Box"),"0")&amp;IF(B39="Plate","a",IF(B39="Part-L","b",IF(B39="Part-W","c","")))))</f>
        <v/>
      </c>
      <c r="B39" s="28"/>
      <c r="C39" s="28"/>
      <c r="D39" s="54"/>
      <c r="E39" s="54"/>
      <c r="F39" s="55" t="str">
        <f>IF(OR(B39="",B39="Box"),"",IF(B39="Plate",IFERROR(LOOKUP(2,1/(B$7:B38="Box"),F$7:F38)-5,""),""))</f>
        <v/>
      </c>
      <c r="G39" s="55" t="str">
        <f>IF(OR(B39="",B39="Box"),"",IF(B39="Plate",IFERROR(LOOKUP(2,1/(B$7:B38="Box"),G$7:G38)-5,""),IF(OR(B39="Part-L",B39="Part-W"),IFERROR(LOOKUP(2,1/(B$7:B38="Box"),H$7:H38)-15,""),"")))</f>
        <v/>
      </c>
      <c r="H39" s="28"/>
      <c r="I39" s="28"/>
      <c r="J39" s="28"/>
      <c r="K39" s="28"/>
      <c r="L39" s="56" t="str">
        <f>IFERROR(INDEX(DEFAULTS!$E:$E,MATCH(I39,DEFAULTS!$A:$A,0)),"")</f>
        <v/>
      </c>
      <c r="M39" s="56" t="str">
        <f>IFERROR(INDEX(DEFAULTS!$F:$F,MATCH(I39,DEFAULTS!$A:$A,0)),"")</f>
        <v/>
      </c>
      <c r="N39" s="56" t="str">
        <f>IFERROR(INDEX(DEFAULTS!$G:$G,MATCH(I39,DEFAULTS!$A:$A,0)),"")</f>
        <v/>
      </c>
      <c r="O39" s="56" t="str">
        <f>IFERROR(INDEX(DEFAULTS!$H:$H,MATCH(I39,DEFAULTS!$A:$A,0)),"")</f>
        <v/>
      </c>
      <c r="P39" s="57" t="str">
        <f t="shared" si="0"/>
        <v/>
      </c>
      <c r="Q39" s="57" t="str">
        <f t="shared" si="1"/>
        <v/>
      </c>
      <c r="R39" s="58" t="str">
        <f t="shared" si="2"/>
        <v/>
      </c>
      <c r="S39" s="28"/>
      <c r="T39" s="57">
        <f>IFERROR(AE39+AG39*IF(AB39="",1,IFERROR(VLOOKUP(AB39,DEFAULTS!$M$3:$Q$6,IFERROR(MATCH($B$3,DEFAULTS!$N$2:$Q$2,0)+1,2),0),1))+AI39+AK39*IF(AC39="",1,IFERROR(VLOOKUP(AC39,DEFAULTS!$M$3:$Q$6,IFERROR(MATCH($B$3,DEFAULTS!$N$2:$Q$2,0)+1,2),0),1))+AM39,"")</f>
        <v>0</v>
      </c>
      <c r="U39" s="28"/>
      <c r="V39" s="59">
        <f t="shared" si="3"/>
        <v>0</v>
      </c>
      <c r="W39" s="28"/>
      <c r="X39" s="28"/>
      <c r="Y39" s="28"/>
      <c r="Z39" s="28"/>
      <c r="AA39" s="57">
        <f t="shared" si="16"/>
        <v>0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60" t="str">
        <f>IFERROR(VLOOKUP(AD39,'RATE MASTER'!$A:$G,7,0)+IFERROR(VLOOKUP(AE39,'RATE MASTER'!$K$7:$M$10,3,1),0),"")</f>
        <v/>
      </c>
      <c r="AO39" s="60" t="str">
        <f>IFERROR(VLOOKUP(AF39,'RATE MASTER'!$A:$G,7,0)+IFERROR(VLOOKUP(AG39,'RATE MASTER'!$K$7:$M$10,3,1),0),"")</f>
        <v/>
      </c>
      <c r="AP39" s="60" t="str">
        <f>IFERROR(VLOOKUP(AH39,'RATE MASTER'!$A:$G,7,0)+IFERROR(VLOOKUP(AI39,'RATE MASTER'!$K$7:$M$10,3,1),0),"")</f>
        <v/>
      </c>
      <c r="AQ39" s="60" t="str">
        <f>IFERROR(VLOOKUP(AJ39,'RATE MASTER'!$A:$G,7,0)+IFERROR(VLOOKUP(AK39,'RATE MASTER'!$K$7:$M$10,3,1),0),"")</f>
        <v/>
      </c>
      <c r="AR39" s="60" t="str">
        <f>IFERROR(VLOOKUP(AL39,'RATE MASTER'!$A:$G,7,0)+IFERROR(VLOOKUP(AM39,'RATE MASTER'!$K$7:$M$10,3,1),0),"")</f>
        <v/>
      </c>
      <c r="AS39" s="61">
        <f t="shared" si="17"/>
        <v>0</v>
      </c>
      <c r="AT39" s="61">
        <f>IFERROR((AG39/1000)*R39*IF(AB39="",1,IFERROR(VLOOKUP(AB39,DEFAULTS!$M$3:$Q$6,IFERROR(MATCH($B$3,DEFAULTS!$N$2:$Q$2,0)+1,2),0),1))*(1+IF(B39="Box",$AY$3,$AY$4)),0)</f>
        <v>0</v>
      </c>
      <c r="AU39" s="61">
        <f t="shared" si="18"/>
        <v>0</v>
      </c>
      <c r="AV39" s="61">
        <f>IFERROR((AK39/1000)*R39*IF(AC39="",1,IFERROR(VLOOKUP(AC39,DEFAULTS!$M$3:$Q$6,IFERROR(MATCH($B$3,DEFAULTS!$N$2:$Q$2,0)+1,2),0),1))*(1+IF(B39="Box",$AY$3,$AY$4)),0)</f>
        <v>0</v>
      </c>
      <c r="AW39" s="61">
        <f t="shared" si="19"/>
        <v>0</v>
      </c>
      <c r="AX39" s="62">
        <f t="shared" si="4"/>
        <v>0</v>
      </c>
      <c r="AY39" s="62">
        <f t="shared" si="5"/>
        <v>0</v>
      </c>
      <c r="AZ39" s="63">
        <f t="shared" si="6"/>
        <v>0</v>
      </c>
      <c r="BA39" s="8">
        <f t="shared" si="7"/>
        <v>0</v>
      </c>
      <c r="BB39" s="8"/>
      <c r="BC39" s="8"/>
      <c r="BD39" s="8"/>
      <c r="BE39" s="8"/>
      <c r="BF39" s="8"/>
      <c r="BG39" s="8"/>
      <c r="BH39" s="8"/>
      <c r="BI39" s="8"/>
      <c r="BJ39" s="8">
        <f t="shared" si="8"/>
        <v>0</v>
      </c>
      <c r="BK39" s="8">
        <f>IFERROR(AY39*IFERROR(IF($BK$4="",VLOOKUP(E39,DEFAULTS!$S$3:$V$20,IFERROR(MATCH($B$3,DEFAULTS!$T$3:$V$3,0)+1,2),0),$BK$4),0),0)</f>
        <v>0</v>
      </c>
      <c r="BL39" s="63">
        <f t="shared" si="9"/>
        <v>0</v>
      </c>
      <c r="BM39" s="45">
        <f t="shared" si="20"/>
        <v>0.02</v>
      </c>
      <c r="BN39" s="8">
        <f t="shared" si="10"/>
        <v>0</v>
      </c>
      <c r="BO39" s="64">
        <f t="shared" si="11"/>
        <v>0</v>
      </c>
      <c r="BP39" s="8" t="str">
        <f t="shared" si="12"/>
        <v/>
      </c>
      <c r="BQ39" s="57" t="str">
        <f t="shared" si="13"/>
        <v/>
      </c>
      <c r="BR39" s="57"/>
      <c r="BS39" s="57" t="str">
        <f t="shared" si="14"/>
        <v/>
      </c>
      <c r="BT39" s="8" t="str">
        <f t="shared" si="15"/>
        <v/>
      </c>
    </row>
    <row r="40" spans="1:72" ht="15" customHeight="1" x14ac:dyDescent="0.45">
      <c r="A40" s="53" t="str">
        <f>IF(B40="","",IF(B40="Box",COUNTIF($B$7:B40,"Box"),TEXT(COUNTIF($B$7:B40,"Box"),"0")&amp;IF(B40="Plate","a",IF(B40="Part-L","b",IF(B40="Part-W","c","")))))</f>
        <v/>
      </c>
      <c r="B40" s="28"/>
      <c r="C40" s="28"/>
      <c r="D40" s="54"/>
      <c r="E40" s="54"/>
      <c r="F40" s="55" t="str">
        <f>IF(OR(B40="",B40="Box"),"",IF(B40="Plate",IFERROR(LOOKUP(2,1/(B$7:B39="Box"),F$7:F39)-5,""),""))</f>
        <v/>
      </c>
      <c r="G40" s="55" t="str">
        <f>IF(OR(B40="",B40="Box"),"",IF(B40="Plate",IFERROR(LOOKUP(2,1/(B$7:B39="Box"),G$7:G39)-5,""),IF(OR(B40="Part-L",B40="Part-W"),IFERROR(LOOKUP(2,1/(B$7:B39="Box"),H$7:H39)-15,""),"")))</f>
        <v/>
      </c>
      <c r="H40" s="28"/>
      <c r="I40" s="28"/>
      <c r="J40" s="28"/>
      <c r="K40" s="28"/>
      <c r="L40" s="56" t="str">
        <f>IFERROR(INDEX(DEFAULTS!$E:$E,MATCH(I40,DEFAULTS!$A:$A,0)),"")</f>
        <v/>
      </c>
      <c r="M40" s="56" t="str">
        <f>IFERROR(INDEX(DEFAULTS!$F:$F,MATCH(I40,DEFAULTS!$A:$A,0)),"")</f>
        <v/>
      </c>
      <c r="N40" s="56" t="str">
        <f>IFERROR(INDEX(DEFAULTS!$G:$G,MATCH(I40,DEFAULTS!$A:$A,0)),"")</f>
        <v/>
      </c>
      <c r="O40" s="56" t="str">
        <f>IFERROR(INDEX(DEFAULTS!$H:$H,MATCH(I40,DEFAULTS!$A:$A,0)),"")</f>
        <v/>
      </c>
      <c r="P40" s="57" t="str">
        <f t="shared" si="0"/>
        <v/>
      </c>
      <c r="Q40" s="57" t="str">
        <f t="shared" si="1"/>
        <v/>
      </c>
      <c r="R40" s="58" t="str">
        <f t="shared" si="2"/>
        <v/>
      </c>
      <c r="S40" s="28"/>
      <c r="T40" s="57">
        <f>IFERROR(AE40+AG40*IF(AB40="",1,IFERROR(VLOOKUP(AB40,DEFAULTS!$M$3:$Q$6,IFERROR(MATCH($B$3,DEFAULTS!$N$2:$Q$2,0)+1,2),0),1))+AI40+AK40*IF(AC40="",1,IFERROR(VLOOKUP(AC40,DEFAULTS!$M$3:$Q$6,IFERROR(MATCH($B$3,DEFAULTS!$N$2:$Q$2,0)+1,2),0),1))+AM40,"")</f>
        <v>0</v>
      </c>
      <c r="U40" s="28"/>
      <c r="V40" s="59">
        <f t="shared" si="3"/>
        <v>0</v>
      </c>
      <c r="W40" s="28"/>
      <c r="X40" s="28"/>
      <c r="Y40" s="28"/>
      <c r="Z40" s="28"/>
      <c r="AA40" s="57">
        <f t="shared" si="16"/>
        <v>0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60" t="str">
        <f>IFERROR(VLOOKUP(AD40,'RATE MASTER'!$A:$G,7,0)+IFERROR(VLOOKUP(AE40,'RATE MASTER'!$K$7:$M$10,3,1),0),"")</f>
        <v/>
      </c>
      <c r="AO40" s="60" t="str">
        <f>IFERROR(VLOOKUP(AF40,'RATE MASTER'!$A:$G,7,0)+IFERROR(VLOOKUP(AG40,'RATE MASTER'!$K$7:$M$10,3,1),0),"")</f>
        <v/>
      </c>
      <c r="AP40" s="60" t="str">
        <f>IFERROR(VLOOKUP(AH40,'RATE MASTER'!$A:$G,7,0)+IFERROR(VLOOKUP(AI40,'RATE MASTER'!$K$7:$M$10,3,1),0),"")</f>
        <v/>
      </c>
      <c r="AQ40" s="60" t="str">
        <f>IFERROR(VLOOKUP(AJ40,'RATE MASTER'!$A:$G,7,0)+IFERROR(VLOOKUP(AK40,'RATE MASTER'!$K$7:$M$10,3,1),0),"")</f>
        <v/>
      </c>
      <c r="AR40" s="60" t="str">
        <f>IFERROR(VLOOKUP(AL40,'RATE MASTER'!$A:$G,7,0)+IFERROR(VLOOKUP(AM40,'RATE MASTER'!$K$7:$M$10,3,1),0),"")</f>
        <v/>
      </c>
      <c r="AS40" s="61">
        <f t="shared" si="17"/>
        <v>0</v>
      </c>
      <c r="AT40" s="61">
        <f>IFERROR((AG40/1000)*R40*IF(AB40="",1,IFERROR(VLOOKUP(AB40,DEFAULTS!$M$3:$Q$6,IFERROR(MATCH($B$3,DEFAULTS!$N$2:$Q$2,0)+1,2),0),1))*(1+IF(B40="Box",$AY$3,$AY$4)),0)</f>
        <v>0</v>
      </c>
      <c r="AU40" s="61">
        <f t="shared" si="18"/>
        <v>0</v>
      </c>
      <c r="AV40" s="61">
        <f>IFERROR((AK40/1000)*R40*IF(AC40="",1,IFERROR(VLOOKUP(AC40,DEFAULTS!$M$3:$Q$6,IFERROR(MATCH($B$3,DEFAULTS!$N$2:$Q$2,0)+1,2),0),1))*(1+IF(B40="Box",$AY$3,$AY$4)),0)</f>
        <v>0</v>
      </c>
      <c r="AW40" s="61">
        <f t="shared" si="19"/>
        <v>0</v>
      </c>
      <c r="AX40" s="62">
        <f t="shared" si="4"/>
        <v>0</v>
      </c>
      <c r="AY40" s="62">
        <f t="shared" si="5"/>
        <v>0</v>
      </c>
      <c r="AZ40" s="63">
        <f t="shared" si="6"/>
        <v>0</v>
      </c>
      <c r="BA40" s="8">
        <f t="shared" si="7"/>
        <v>0</v>
      </c>
      <c r="BB40" s="8"/>
      <c r="BC40" s="8"/>
      <c r="BD40" s="8"/>
      <c r="BE40" s="8"/>
      <c r="BF40" s="8"/>
      <c r="BG40" s="8"/>
      <c r="BH40" s="8"/>
      <c r="BI40" s="8"/>
      <c r="BJ40" s="8">
        <f t="shared" si="8"/>
        <v>0</v>
      </c>
      <c r="BK40" s="8">
        <f>IFERROR(AY40*IFERROR(IF($BK$4="",VLOOKUP(E40,DEFAULTS!$S$3:$V$20,IFERROR(MATCH($B$3,DEFAULTS!$T$3:$V$3,0)+1,2),0),$BK$4),0),0)</f>
        <v>0</v>
      </c>
      <c r="BL40" s="63">
        <f t="shared" si="9"/>
        <v>0</v>
      </c>
      <c r="BM40" s="45">
        <f t="shared" si="20"/>
        <v>0.02</v>
      </c>
      <c r="BN40" s="8">
        <f t="shared" si="10"/>
        <v>0</v>
      </c>
      <c r="BO40" s="64">
        <f t="shared" si="11"/>
        <v>0</v>
      </c>
      <c r="BP40" s="8" t="str">
        <f t="shared" si="12"/>
        <v/>
      </c>
      <c r="BQ40" s="57" t="str">
        <f t="shared" si="13"/>
        <v/>
      </c>
      <c r="BR40" s="57"/>
      <c r="BS40" s="57" t="str">
        <f t="shared" si="14"/>
        <v/>
      </c>
      <c r="BT40" s="8" t="str">
        <f t="shared" si="15"/>
        <v/>
      </c>
    </row>
    <row r="41" spans="1:72" ht="15" customHeight="1" x14ac:dyDescent="0.45">
      <c r="A41" s="53" t="str">
        <f>IF(B41="","",IF(B41="Box",COUNTIF($B$7:B41,"Box"),TEXT(COUNTIF($B$7:B41,"Box"),"0")&amp;IF(B41="Plate","a",IF(B41="Part-L","b",IF(B41="Part-W","c","")))))</f>
        <v/>
      </c>
      <c r="B41" s="28"/>
      <c r="C41" s="28"/>
      <c r="D41" s="54"/>
      <c r="E41" s="54"/>
      <c r="F41" s="55" t="str">
        <f>IF(OR(B41="",B41="Box"),"",IF(B41="Plate",IFERROR(LOOKUP(2,1/(B$7:B40="Box"),F$7:F40)-5,""),""))</f>
        <v/>
      </c>
      <c r="G41" s="55" t="str">
        <f>IF(OR(B41="",B41="Box"),"",IF(B41="Plate",IFERROR(LOOKUP(2,1/(B$7:B40="Box"),G$7:G40)-5,""),IF(OR(B41="Part-L",B41="Part-W"),IFERROR(LOOKUP(2,1/(B$7:B40="Box"),H$7:H40)-15,""),"")))</f>
        <v/>
      </c>
      <c r="H41" s="28"/>
      <c r="I41" s="28"/>
      <c r="J41" s="28"/>
      <c r="K41" s="28"/>
      <c r="L41" s="56" t="str">
        <f>IFERROR(INDEX(DEFAULTS!$E:$E,MATCH(I41,DEFAULTS!$A:$A,0)),"")</f>
        <v/>
      </c>
      <c r="M41" s="56" t="str">
        <f>IFERROR(INDEX(DEFAULTS!$F:$F,MATCH(I41,DEFAULTS!$A:$A,0)),"")</f>
        <v/>
      </c>
      <c r="N41" s="56" t="str">
        <f>IFERROR(INDEX(DEFAULTS!$G:$G,MATCH(I41,DEFAULTS!$A:$A,0)),"")</f>
        <v/>
      </c>
      <c r="O41" s="56" t="str">
        <f>IFERROR(INDEX(DEFAULTS!$H:$H,MATCH(I41,DEFAULTS!$A:$A,0)),"")</f>
        <v/>
      </c>
      <c r="P41" s="57" t="str">
        <f t="shared" si="0"/>
        <v/>
      </c>
      <c r="Q41" s="57" t="str">
        <f t="shared" si="1"/>
        <v/>
      </c>
      <c r="R41" s="58" t="str">
        <f t="shared" si="2"/>
        <v/>
      </c>
      <c r="S41" s="28"/>
      <c r="T41" s="57">
        <f>IFERROR(AE41+AG41*IF(AB41="",1,IFERROR(VLOOKUP(AB41,DEFAULTS!$M$3:$Q$6,IFERROR(MATCH($B$3,DEFAULTS!$N$2:$Q$2,0)+1,2),0),1))+AI41+AK41*IF(AC41="",1,IFERROR(VLOOKUP(AC41,DEFAULTS!$M$3:$Q$6,IFERROR(MATCH($B$3,DEFAULTS!$N$2:$Q$2,0)+1,2),0),1))+AM41,"")</f>
        <v>0</v>
      </c>
      <c r="U41" s="28"/>
      <c r="V41" s="59">
        <f t="shared" si="3"/>
        <v>0</v>
      </c>
      <c r="W41" s="28"/>
      <c r="X41" s="28"/>
      <c r="Y41" s="28"/>
      <c r="Z41" s="28"/>
      <c r="AA41" s="57">
        <f t="shared" si="16"/>
        <v>0</v>
      </c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60" t="str">
        <f>IFERROR(VLOOKUP(AD41,'RATE MASTER'!$A:$G,7,0)+IFERROR(VLOOKUP(AE41,'RATE MASTER'!$K$7:$M$10,3,1),0),"")</f>
        <v/>
      </c>
      <c r="AO41" s="60" t="str">
        <f>IFERROR(VLOOKUP(AF41,'RATE MASTER'!$A:$G,7,0)+IFERROR(VLOOKUP(AG41,'RATE MASTER'!$K$7:$M$10,3,1),0),"")</f>
        <v/>
      </c>
      <c r="AP41" s="60" t="str">
        <f>IFERROR(VLOOKUP(AH41,'RATE MASTER'!$A:$G,7,0)+IFERROR(VLOOKUP(AI41,'RATE MASTER'!$K$7:$M$10,3,1),0),"")</f>
        <v/>
      </c>
      <c r="AQ41" s="60" t="str">
        <f>IFERROR(VLOOKUP(AJ41,'RATE MASTER'!$A:$G,7,0)+IFERROR(VLOOKUP(AK41,'RATE MASTER'!$K$7:$M$10,3,1),0),"")</f>
        <v/>
      </c>
      <c r="AR41" s="60" t="str">
        <f>IFERROR(VLOOKUP(AL41,'RATE MASTER'!$A:$G,7,0)+IFERROR(VLOOKUP(AM41,'RATE MASTER'!$K$7:$M$10,3,1),0),"")</f>
        <v/>
      </c>
      <c r="AS41" s="61">
        <f t="shared" si="17"/>
        <v>0</v>
      </c>
      <c r="AT41" s="61">
        <f>IFERROR((AG41/1000)*R41*IF(AB41="",1,IFERROR(VLOOKUP(AB41,DEFAULTS!$M$3:$Q$6,IFERROR(MATCH($B$3,DEFAULTS!$N$2:$Q$2,0)+1,2),0),1))*(1+IF(B41="Box",$AY$3,$AY$4)),0)</f>
        <v>0</v>
      </c>
      <c r="AU41" s="61">
        <f t="shared" si="18"/>
        <v>0</v>
      </c>
      <c r="AV41" s="61">
        <f>IFERROR((AK41/1000)*R41*IF(AC41="",1,IFERROR(VLOOKUP(AC41,DEFAULTS!$M$3:$Q$6,IFERROR(MATCH($B$3,DEFAULTS!$N$2:$Q$2,0)+1,2),0),1))*(1+IF(B41="Box",$AY$3,$AY$4)),0)</f>
        <v>0</v>
      </c>
      <c r="AW41" s="61">
        <f t="shared" si="19"/>
        <v>0</v>
      </c>
      <c r="AX41" s="62">
        <f t="shared" si="4"/>
        <v>0</v>
      </c>
      <c r="AY41" s="62">
        <f t="shared" si="5"/>
        <v>0</v>
      </c>
      <c r="AZ41" s="63">
        <f t="shared" si="6"/>
        <v>0</v>
      </c>
      <c r="BA41" s="8">
        <f t="shared" si="7"/>
        <v>0</v>
      </c>
      <c r="BB41" s="8"/>
      <c r="BC41" s="8"/>
      <c r="BD41" s="8"/>
      <c r="BE41" s="8"/>
      <c r="BF41" s="8"/>
      <c r="BG41" s="8"/>
      <c r="BH41" s="8"/>
      <c r="BI41" s="8"/>
      <c r="BJ41" s="8">
        <f t="shared" si="8"/>
        <v>0</v>
      </c>
      <c r="BK41" s="8">
        <f>IFERROR(AY41*IFERROR(IF($BK$4="",VLOOKUP(E41,DEFAULTS!$S$3:$V$20,IFERROR(MATCH($B$3,DEFAULTS!$T$3:$V$3,0)+1,2),0),$BK$4),0),0)</f>
        <v>0</v>
      </c>
      <c r="BL41" s="63">
        <f t="shared" si="9"/>
        <v>0</v>
      </c>
      <c r="BM41" s="45">
        <f t="shared" si="20"/>
        <v>0.02</v>
      </c>
      <c r="BN41" s="8">
        <f t="shared" si="10"/>
        <v>0</v>
      </c>
      <c r="BO41" s="64">
        <f t="shared" si="11"/>
        <v>0</v>
      </c>
      <c r="BP41" s="8" t="str">
        <f t="shared" si="12"/>
        <v/>
      </c>
      <c r="BQ41" s="57" t="str">
        <f t="shared" si="13"/>
        <v/>
      </c>
      <c r="BR41" s="57"/>
      <c r="BS41" s="57" t="str">
        <f t="shared" si="14"/>
        <v/>
      </c>
      <c r="BT41" s="8" t="str">
        <f t="shared" si="15"/>
        <v/>
      </c>
    </row>
    <row r="42" spans="1:72" ht="15" customHeight="1" x14ac:dyDescent="0.45">
      <c r="A42" s="53" t="str">
        <f>IF(B42="","",IF(B42="Box",COUNTIF($B$7:B42,"Box"),TEXT(COUNTIF($B$7:B42,"Box"),"0")&amp;IF(B42="Plate","a",IF(B42="Part-L","b",IF(B42="Part-W","c","")))))</f>
        <v/>
      </c>
      <c r="B42" s="28"/>
      <c r="C42" s="28"/>
      <c r="D42" s="54"/>
      <c r="E42" s="54"/>
      <c r="F42" s="55" t="str">
        <f>IF(OR(B42="",B42="Box"),"",IF(B42="Plate",IFERROR(LOOKUP(2,1/(B$7:B41="Box"),F$7:F41)-5,""),""))</f>
        <v/>
      </c>
      <c r="G42" s="55" t="str">
        <f>IF(OR(B42="",B42="Box"),"",IF(B42="Plate",IFERROR(LOOKUP(2,1/(B$7:B41="Box"),G$7:G41)-5,""),IF(OR(B42="Part-L",B42="Part-W"),IFERROR(LOOKUP(2,1/(B$7:B41="Box"),H$7:H41)-15,""),"")))</f>
        <v/>
      </c>
      <c r="H42" s="28"/>
      <c r="I42" s="28"/>
      <c r="J42" s="28"/>
      <c r="K42" s="28"/>
      <c r="L42" s="56" t="str">
        <f>IFERROR(INDEX(DEFAULTS!$E:$E,MATCH(I42,DEFAULTS!$A:$A,0)),"")</f>
        <v/>
      </c>
      <c r="M42" s="56" t="str">
        <f>IFERROR(INDEX(DEFAULTS!$F:$F,MATCH(I42,DEFAULTS!$A:$A,0)),"")</f>
        <v/>
      </c>
      <c r="N42" s="56" t="str">
        <f>IFERROR(INDEX(DEFAULTS!$G:$G,MATCH(I42,DEFAULTS!$A:$A,0)),"")</f>
        <v/>
      </c>
      <c r="O42" s="56" t="str">
        <f>IFERROR(INDEX(DEFAULTS!$H:$H,MATCH(I42,DEFAULTS!$A:$A,0)),"")</f>
        <v/>
      </c>
      <c r="P42" s="57" t="str">
        <f t="shared" si="0"/>
        <v/>
      </c>
      <c r="Q42" s="57" t="str">
        <f t="shared" si="1"/>
        <v/>
      </c>
      <c r="R42" s="58" t="str">
        <f t="shared" si="2"/>
        <v/>
      </c>
      <c r="S42" s="28"/>
      <c r="T42" s="57">
        <f>IFERROR(AE42+AG42*IF(AB42="",1,IFERROR(VLOOKUP(AB42,DEFAULTS!$M$3:$Q$6,IFERROR(MATCH($B$3,DEFAULTS!$N$2:$Q$2,0)+1,2),0),1))+AI42+AK42*IF(AC42="",1,IFERROR(VLOOKUP(AC42,DEFAULTS!$M$3:$Q$6,IFERROR(MATCH($B$3,DEFAULTS!$N$2:$Q$2,0)+1,2),0),1))+AM42,"")</f>
        <v>0</v>
      </c>
      <c r="U42" s="28"/>
      <c r="V42" s="59">
        <f t="shared" si="3"/>
        <v>0</v>
      </c>
      <c r="W42" s="28"/>
      <c r="X42" s="28"/>
      <c r="Y42" s="28"/>
      <c r="Z42" s="28"/>
      <c r="AA42" s="57">
        <f t="shared" si="16"/>
        <v>0</v>
      </c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60" t="str">
        <f>IFERROR(VLOOKUP(AD42,'RATE MASTER'!$A:$G,7,0)+IFERROR(VLOOKUP(AE42,'RATE MASTER'!$K$7:$M$10,3,1),0),"")</f>
        <v/>
      </c>
      <c r="AO42" s="60" t="str">
        <f>IFERROR(VLOOKUP(AF42,'RATE MASTER'!$A:$G,7,0)+IFERROR(VLOOKUP(AG42,'RATE MASTER'!$K$7:$M$10,3,1),0),"")</f>
        <v/>
      </c>
      <c r="AP42" s="60" t="str">
        <f>IFERROR(VLOOKUP(AH42,'RATE MASTER'!$A:$G,7,0)+IFERROR(VLOOKUP(AI42,'RATE MASTER'!$K$7:$M$10,3,1),0),"")</f>
        <v/>
      </c>
      <c r="AQ42" s="60" t="str">
        <f>IFERROR(VLOOKUP(AJ42,'RATE MASTER'!$A:$G,7,0)+IFERROR(VLOOKUP(AK42,'RATE MASTER'!$K$7:$M$10,3,1),0),"")</f>
        <v/>
      </c>
      <c r="AR42" s="60" t="str">
        <f>IFERROR(VLOOKUP(AL42,'RATE MASTER'!$A:$G,7,0)+IFERROR(VLOOKUP(AM42,'RATE MASTER'!$K$7:$M$10,3,1),0),"")</f>
        <v/>
      </c>
      <c r="AS42" s="61">
        <f t="shared" si="17"/>
        <v>0</v>
      </c>
      <c r="AT42" s="61">
        <f>IFERROR((AG42/1000)*R42*IF(AB42="",1,IFERROR(VLOOKUP(AB42,DEFAULTS!$M$3:$Q$6,IFERROR(MATCH($B$3,DEFAULTS!$N$2:$Q$2,0)+1,2),0),1))*(1+IF(B42="Box",$AY$3,$AY$4)),0)</f>
        <v>0</v>
      </c>
      <c r="AU42" s="61">
        <f t="shared" si="18"/>
        <v>0</v>
      </c>
      <c r="AV42" s="61">
        <f>IFERROR((AK42/1000)*R42*IF(AC42="",1,IFERROR(VLOOKUP(AC42,DEFAULTS!$M$3:$Q$6,IFERROR(MATCH($B$3,DEFAULTS!$N$2:$Q$2,0)+1,2),0),1))*(1+IF(B42="Box",$AY$3,$AY$4)),0)</f>
        <v>0</v>
      </c>
      <c r="AW42" s="61">
        <f t="shared" si="19"/>
        <v>0</v>
      </c>
      <c r="AX42" s="62">
        <f t="shared" si="4"/>
        <v>0</v>
      </c>
      <c r="AY42" s="62">
        <f t="shared" si="5"/>
        <v>0</v>
      </c>
      <c r="AZ42" s="63">
        <f t="shared" si="6"/>
        <v>0</v>
      </c>
      <c r="BA42" s="8">
        <f t="shared" si="7"/>
        <v>0</v>
      </c>
      <c r="BB42" s="8"/>
      <c r="BC42" s="8"/>
      <c r="BD42" s="8"/>
      <c r="BE42" s="8"/>
      <c r="BF42" s="8"/>
      <c r="BG42" s="8"/>
      <c r="BH42" s="8"/>
      <c r="BI42" s="8"/>
      <c r="BJ42" s="8">
        <f t="shared" si="8"/>
        <v>0</v>
      </c>
      <c r="BK42" s="8">
        <f>IFERROR(AY42*IFERROR(IF($BK$4="",VLOOKUP(E42,DEFAULTS!$S$3:$V$20,IFERROR(MATCH($B$3,DEFAULTS!$T$3:$V$3,0)+1,2),0),$BK$4),0),0)</f>
        <v>0</v>
      </c>
      <c r="BL42" s="63">
        <f t="shared" si="9"/>
        <v>0</v>
      </c>
      <c r="BM42" s="45">
        <f t="shared" si="20"/>
        <v>0.02</v>
      </c>
      <c r="BN42" s="8">
        <f t="shared" si="10"/>
        <v>0</v>
      </c>
      <c r="BO42" s="64">
        <f t="shared" si="11"/>
        <v>0</v>
      </c>
      <c r="BP42" s="8" t="str">
        <f t="shared" si="12"/>
        <v/>
      </c>
      <c r="BQ42" s="57" t="str">
        <f t="shared" si="13"/>
        <v/>
      </c>
      <c r="BR42" s="57"/>
      <c r="BS42" s="57" t="str">
        <f t="shared" si="14"/>
        <v/>
      </c>
      <c r="BT42" s="8" t="str">
        <f t="shared" si="15"/>
        <v/>
      </c>
    </row>
    <row r="43" spans="1:72" ht="15" customHeight="1" x14ac:dyDescent="0.45">
      <c r="A43" s="53" t="str">
        <f>IF(B43="","",IF(B43="Box",COUNTIF($B$7:B43,"Box"),TEXT(COUNTIF($B$7:B43,"Box"),"0")&amp;IF(B43="Plate","a",IF(B43="Part-L","b",IF(B43="Part-W","c","")))))</f>
        <v/>
      </c>
      <c r="B43" s="28"/>
      <c r="C43" s="28"/>
      <c r="D43" s="54"/>
      <c r="E43" s="54"/>
      <c r="F43" s="55" t="str">
        <f>IF(OR(B43="",B43="Box"),"",IF(B43="Plate",IFERROR(LOOKUP(2,1/(B$7:B42="Box"),F$7:F42)-5,""),""))</f>
        <v/>
      </c>
      <c r="G43" s="55" t="str">
        <f>IF(OR(B43="",B43="Box"),"",IF(B43="Plate",IFERROR(LOOKUP(2,1/(B$7:B42="Box"),G$7:G42)-5,""),IF(OR(B43="Part-L",B43="Part-W"),IFERROR(LOOKUP(2,1/(B$7:B42="Box"),H$7:H42)-15,""),"")))</f>
        <v/>
      </c>
      <c r="H43" s="28"/>
      <c r="I43" s="28"/>
      <c r="J43" s="28"/>
      <c r="K43" s="28"/>
      <c r="L43" s="56" t="str">
        <f>IFERROR(INDEX(DEFAULTS!$E:$E,MATCH(I43,DEFAULTS!$A:$A,0)),"")</f>
        <v/>
      </c>
      <c r="M43" s="56" t="str">
        <f>IFERROR(INDEX(DEFAULTS!$F:$F,MATCH(I43,DEFAULTS!$A:$A,0)),"")</f>
        <v/>
      </c>
      <c r="N43" s="56" t="str">
        <f>IFERROR(INDEX(DEFAULTS!$G:$G,MATCH(I43,DEFAULTS!$A:$A,0)),"")</f>
        <v/>
      </c>
      <c r="O43" s="56" t="str">
        <f>IFERROR(INDEX(DEFAULTS!$H:$H,MATCH(I43,DEFAULTS!$A:$A,0)),"")</f>
        <v/>
      </c>
      <c r="P43" s="57" t="str">
        <f t="shared" si="0"/>
        <v/>
      </c>
      <c r="Q43" s="57" t="str">
        <f t="shared" si="1"/>
        <v/>
      </c>
      <c r="R43" s="58" t="str">
        <f t="shared" si="2"/>
        <v/>
      </c>
      <c r="S43" s="28"/>
      <c r="T43" s="57">
        <f>IFERROR(AE43+AG43*IF(AB43="",1,IFERROR(VLOOKUP(AB43,DEFAULTS!$M$3:$Q$6,IFERROR(MATCH($B$3,DEFAULTS!$N$2:$Q$2,0)+1,2),0),1))+AI43+AK43*IF(AC43="",1,IFERROR(VLOOKUP(AC43,DEFAULTS!$M$3:$Q$6,IFERROR(MATCH($B$3,DEFAULTS!$N$2:$Q$2,0)+1,2),0),1))+AM43,"")</f>
        <v>0</v>
      </c>
      <c r="U43" s="28"/>
      <c r="V43" s="59">
        <f t="shared" si="3"/>
        <v>0</v>
      </c>
      <c r="W43" s="28"/>
      <c r="X43" s="28"/>
      <c r="Y43" s="28"/>
      <c r="Z43" s="28"/>
      <c r="AA43" s="57">
        <f t="shared" si="16"/>
        <v>0</v>
      </c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60" t="str">
        <f>IFERROR(VLOOKUP(AD43,'RATE MASTER'!$A:$G,7,0)+IFERROR(VLOOKUP(AE43,'RATE MASTER'!$K$7:$M$10,3,1),0),"")</f>
        <v/>
      </c>
      <c r="AO43" s="60" t="str">
        <f>IFERROR(VLOOKUP(AF43,'RATE MASTER'!$A:$G,7,0)+IFERROR(VLOOKUP(AG43,'RATE MASTER'!$K$7:$M$10,3,1),0),"")</f>
        <v/>
      </c>
      <c r="AP43" s="60" t="str">
        <f>IFERROR(VLOOKUP(AH43,'RATE MASTER'!$A:$G,7,0)+IFERROR(VLOOKUP(AI43,'RATE MASTER'!$K$7:$M$10,3,1),0),"")</f>
        <v/>
      </c>
      <c r="AQ43" s="60" t="str">
        <f>IFERROR(VLOOKUP(AJ43,'RATE MASTER'!$A:$G,7,0)+IFERROR(VLOOKUP(AK43,'RATE MASTER'!$K$7:$M$10,3,1),0),"")</f>
        <v/>
      </c>
      <c r="AR43" s="60" t="str">
        <f>IFERROR(VLOOKUP(AL43,'RATE MASTER'!$A:$G,7,0)+IFERROR(VLOOKUP(AM43,'RATE MASTER'!$K$7:$M$10,3,1),0),"")</f>
        <v/>
      </c>
      <c r="AS43" s="61">
        <f t="shared" si="17"/>
        <v>0</v>
      </c>
      <c r="AT43" s="61">
        <f>IFERROR((AG43/1000)*R43*IF(AB43="",1,IFERROR(VLOOKUP(AB43,DEFAULTS!$M$3:$Q$6,IFERROR(MATCH($B$3,DEFAULTS!$N$2:$Q$2,0)+1,2),0),1))*(1+IF(B43="Box",$AY$3,$AY$4)),0)</f>
        <v>0</v>
      </c>
      <c r="AU43" s="61">
        <f t="shared" si="18"/>
        <v>0</v>
      </c>
      <c r="AV43" s="61">
        <f>IFERROR((AK43/1000)*R43*IF(AC43="",1,IFERROR(VLOOKUP(AC43,DEFAULTS!$M$3:$Q$6,IFERROR(MATCH($B$3,DEFAULTS!$N$2:$Q$2,0)+1,2),0),1))*(1+IF(B43="Box",$AY$3,$AY$4)),0)</f>
        <v>0</v>
      </c>
      <c r="AW43" s="61">
        <f t="shared" si="19"/>
        <v>0</v>
      </c>
      <c r="AX43" s="62">
        <f t="shared" si="4"/>
        <v>0</v>
      </c>
      <c r="AY43" s="62">
        <f t="shared" si="5"/>
        <v>0</v>
      </c>
      <c r="AZ43" s="63">
        <f t="shared" si="6"/>
        <v>0</v>
      </c>
      <c r="BA43" s="8">
        <f t="shared" si="7"/>
        <v>0</v>
      </c>
      <c r="BB43" s="8"/>
      <c r="BC43" s="8"/>
      <c r="BD43" s="8"/>
      <c r="BE43" s="8"/>
      <c r="BF43" s="8"/>
      <c r="BG43" s="8"/>
      <c r="BH43" s="8"/>
      <c r="BI43" s="8"/>
      <c r="BJ43" s="8">
        <f t="shared" si="8"/>
        <v>0</v>
      </c>
      <c r="BK43" s="8">
        <f>IFERROR(AY43*IFERROR(IF($BK$4="",VLOOKUP(E43,DEFAULTS!$S$3:$V$20,IFERROR(MATCH($B$3,DEFAULTS!$T$3:$V$3,0)+1,2),0),$BK$4),0),0)</f>
        <v>0</v>
      </c>
      <c r="BL43" s="63">
        <f t="shared" si="9"/>
        <v>0</v>
      </c>
      <c r="BM43" s="45">
        <f t="shared" si="20"/>
        <v>0.02</v>
      </c>
      <c r="BN43" s="8">
        <f t="shared" si="10"/>
        <v>0</v>
      </c>
      <c r="BO43" s="64">
        <f t="shared" si="11"/>
        <v>0</v>
      </c>
      <c r="BP43" s="8" t="str">
        <f t="shared" si="12"/>
        <v/>
      </c>
      <c r="BQ43" s="57" t="str">
        <f t="shared" si="13"/>
        <v/>
      </c>
      <c r="BR43" s="57"/>
      <c r="BS43" s="57" t="str">
        <f t="shared" si="14"/>
        <v/>
      </c>
      <c r="BT43" s="8" t="str">
        <f t="shared" si="15"/>
        <v/>
      </c>
    </row>
    <row r="44" spans="1:72" ht="15" customHeight="1" x14ac:dyDescent="0.45">
      <c r="A44" s="53" t="str">
        <f>IF(B44="","",IF(B44="Box",COUNTIF($B$7:B44,"Box"),TEXT(COUNTIF($B$7:B44,"Box"),"0")&amp;IF(B44="Plate","a",IF(B44="Part-L","b",IF(B44="Part-W","c","")))))</f>
        <v/>
      </c>
      <c r="B44" s="28"/>
      <c r="C44" s="28"/>
      <c r="D44" s="54"/>
      <c r="E44" s="54"/>
      <c r="F44" s="55" t="str">
        <f>IF(OR(B44="",B44="Box"),"",IF(B44="Plate",IFERROR(LOOKUP(2,1/(B$7:B43="Box"),F$7:F43)-5,""),""))</f>
        <v/>
      </c>
      <c r="G44" s="55" t="str">
        <f>IF(OR(B44="",B44="Box"),"",IF(B44="Plate",IFERROR(LOOKUP(2,1/(B$7:B43="Box"),G$7:G43)-5,""),IF(OR(B44="Part-L",B44="Part-W"),IFERROR(LOOKUP(2,1/(B$7:B43="Box"),H$7:H43)-15,""),"")))</f>
        <v/>
      </c>
      <c r="H44" s="28"/>
      <c r="I44" s="28"/>
      <c r="J44" s="28"/>
      <c r="K44" s="28"/>
      <c r="L44" s="56" t="str">
        <f>IFERROR(INDEX(DEFAULTS!$E:$E,MATCH(I44,DEFAULTS!$A:$A,0)),"")</f>
        <v/>
      </c>
      <c r="M44" s="56" t="str">
        <f>IFERROR(INDEX(DEFAULTS!$F:$F,MATCH(I44,DEFAULTS!$A:$A,0)),"")</f>
        <v/>
      </c>
      <c r="N44" s="56" t="str">
        <f>IFERROR(INDEX(DEFAULTS!$G:$G,MATCH(I44,DEFAULTS!$A:$A,0)),"")</f>
        <v/>
      </c>
      <c r="O44" s="56" t="str">
        <f>IFERROR(INDEX(DEFAULTS!$H:$H,MATCH(I44,DEFAULTS!$A:$A,0)),"")</f>
        <v/>
      </c>
      <c r="P44" s="57" t="str">
        <f t="shared" si="0"/>
        <v/>
      </c>
      <c r="Q44" s="57" t="str">
        <f t="shared" si="1"/>
        <v/>
      </c>
      <c r="R44" s="58" t="str">
        <f t="shared" si="2"/>
        <v/>
      </c>
      <c r="S44" s="28"/>
      <c r="T44" s="57">
        <f>IFERROR(AE44+AG44*IF(AB44="",1,IFERROR(VLOOKUP(AB44,DEFAULTS!$M$3:$Q$6,IFERROR(MATCH($B$3,DEFAULTS!$N$2:$Q$2,0)+1,2),0),1))+AI44+AK44*IF(AC44="",1,IFERROR(VLOOKUP(AC44,DEFAULTS!$M$3:$Q$6,IFERROR(MATCH($B$3,DEFAULTS!$N$2:$Q$2,0)+1,2),0),1))+AM44,"")</f>
        <v>0</v>
      </c>
      <c r="U44" s="28"/>
      <c r="V44" s="59">
        <f t="shared" si="3"/>
        <v>0</v>
      </c>
      <c r="W44" s="28"/>
      <c r="X44" s="28"/>
      <c r="Y44" s="28"/>
      <c r="Z44" s="28"/>
      <c r="AA44" s="57">
        <f t="shared" si="16"/>
        <v>0</v>
      </c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60" t="str">
        <f>IFERROR(VLOOKUP(AD44,'RATE MASTER'!$A:$G,7,0)+IFERROR(VLOOKUP(AE44,'RATE MASTER'!$K$7:$M$10,3,1),0),"")</f>
        <v/>
      </c>
      <c r="AO44" s="60" t="str">
        <f>IFERROR(VLOOKUP(AF44,'RATE MASTER'!$A:$G,7,0)+IFERROR(VLOOKUP(AG44,'RATE MASTER'!$K$7:$M$10,3,1),0),"")</f>
        <v/>
      </c>
      <c r="AP44" s="60" t="str">
        <f>IFERROR(VLOOKUP(AH44,'RATE MASTER'!$A:$G,7,0)+IFERROR(VLOOKUP(AI44,'RATE MASTER'!$K$7:$M$10,3,1),0),"")</f>
        <v/>
      </c>
      <c r="AQ44" s="60" t="str">
        <f>IFERROR(VLOOKUP(AJ44,'RATE MASTER'!$A:$G,7,0)+IFERROR(VLOOKUP(AK44,'RATE MASTER'!$K$7:$M$10,3,1),0),"")</f>
        <v/>
      </c>
      <c r="AR44" s="60" t="str">
        <f>IFERROR(VLOOKUP(AL44,'RATE MASTER'!$A:$G,7,0)+IFERROR(VLOOKUP(AM44,'RATE MASTER'!$K$7:$M$10,3,1),0),"")</f>
        <v/>
      </c>
      <c r="AS44" s="61">
        <f t="shared" si="17"/>
        <v>0</v>
      </c>
      <c r="AT44" s="61">
        <f>IFERROR((AG44/1000)*R44*IF(AB44="",1,IFERROR(VLOOKUP(AB44,DEFAULTS!$M$3:$Q$6,IFERROR(MATCH($B$3,DEFAULTS!$N$2:$Q$2,0)+1,2),0),1))*(1+IF(B44="Box",$AY$3,$AY$4)),0)</f>
        <v>0</v>
      </c>
      <c r="AU44" s="61">
        <f t="shared" si="18"/>
        <v>0</v>
      </c>
      <c r="AV44" s="61">
        <f>IFERROR((AK44/1000)*R44*IF(AC44="",1,IFERROR(VLOOKUP(AC44,DEFAULTS!$M$3:$Q$6,IFERROR(MATCH($B$3,DEFAULTS!$N$2:$Q$2,0)+1,2),0),1))*(1+IF(B44="Box",$AY$3,$AY$4)),0)</f>
        <v>0</v>
      </c>
      <c r="AW44" s="61">
        <f t="shared" si="19"/>
        <v>0</v>
      </c>
      <c r="AX44" s="62">
        <f t="shared" si="4"/>
        <v>0</v>
      </c>
      <c r="AY44" s="62">
        <f t="shared" si="5"/>
        <v>0</v>
      </c>
      <c r="AZ44" s="63">
        <f t="shared" si="6"/>
        <v>0</v>
      </c>
      <c r="BA44" s="8">
        <f t="shared" si="7"/>
        <v>0</v>
      </c>
      <c r="BB44" s="8"/>
      <c r="BC44" s="8"/>
      <c r="BD44" s="8"/>
      <c r="BE44" s="8"/>
      <c r="BF44" s="8"/>
      <c r="BG44" s="8"/>
      <c r="BH44" s="8"/>
      <c r="BI44" s="8"/>
      <c r="BJ44" s="8">
        <f t="shared" si="8"/>
        <v>0</v>
      </c>
      <c r="BK44" s="8">
        <f>IFERROR(AY44*IFERROR(IF($BK$4="",VLOOKUP(E44,DEFAULTS!$S$3:$V$20,IFERROR(MATCH($B$3,DEFAULTS!$T$3:$V$3,0)+1,2),0),$BK$4),0),0)</f>
        <v>0</v>
      </c>
      <c r="BL44" s="63">
        <f t="shared" si="9"/>
        <v>0</v>
      </c>
      <c r="BM44" s="45">
        <f t="shared" si="20"/>
        <v>0.02</v>
      </c>
      <c r="BN44" s="8">
        <f t="shared" si="10"/>
        <v>0</v>
      </c>
      <c r="BO44" s="64">
        <f t="shared" si="11"/>
        <v>0</v>
      </c>
      <c r="BP44" s="8" t="str">
        <f t="shared" si="12"/>
        <v/>
      </c>
      <c r="BQ44" s="57" t="str">
        <f t="shared" si="13"/>
        <v/>
      </c>
      <c r="BR44" s="57"/>
      <c r="BS44" s="57" t="str">
        <f t="shared" si="14"/>
        <v/>
      </c>
      <c r="BT44" s="8" t="str">
        <f t="shared" si="15"/>
        <v/>
      </c>
    </row>
    <row r="45" spans="1:72" ht="15" customHeight="1" x14ac:dyDescent="0.45">
      <c r="A45" s="53" t="str">
        <f>IF(B45="","",IF(B45="Box",COUNTIF($B$7:B45,"Box"),TEXT(COUNTIF($B$7:B45,"Box"),"0")&amp;IF(B45="Plate","a",IF(B45="Part-L","b",IF(B45="Part-W","c","")))))</f>
        <v/>
      </c>
      <c r="B45" s="28"/>
      <c r="C45" s="28"/>
      <c r="D45" s="54"/>
      <c r="E45" s="54"/>
      <c r="F45" s="55" t="str">
        <f>IF(OR(B45="",B45="Box"),"",IF(B45="Plate",IFERROR(LOOKUP(2,1/(B$7:B44="Box"),F$7:F44)-5,""),""))</f>
        <v/>
      </c>
      <c r="G45" s="55" t="str">
        <f>IF(OR(B45="",B45="Box"),"",IF(B45="Plate",IFERROR(LOOKUP(2,1/(B$7:B44="Box"),G$7:G44)-5,""),IF(OR(B45="Part-L",B45="Part-W"),IFERROR(LOOKUP(2,1/(B$7:B44="Box"),H$7:H44)-15,""),"")))</f>
        <v/>
      </c>
      <c r="H45" s="28"/>
      <c r="I45" s="28"/>
      <c r="J45" s="28"/>
      <c r="K45" s="28"/>
      <c r="L45" s="56" t="str">
        <f>IFERROR(INDEX(DEFAULTS!$E:$E,MATCH(I45,DEFAULTS!$A:$A,0)),"")</f>
        <v/>
      </c>
      <c r="M45" s="56" t="str">
        <f>IFERROR(INDEX(DEFAULTS!$F:$F,MATCH(I45,DEFAULTS!$A:$A,0)),"")</f>
        <v/>
      </c>
      <c r="N45" s="56" t="str">
        <f>IFERROR(INDEX(DEFAULTS!$G:$G,MATCH(I45,DEFAULTS!$A:$A,0)),"")</f>
        <v/>
      </c>
      <c r="O45" s="56" t="str">
        <f>IFERROR(INDEX(DEFAULTS!$H:$H,MATCH(I45,DEFAULTS!$A:$A,0)),"")</f>
        <v/>
      </c>
      <c r="P45" s="57" t="str">
        <f t="shared" si="0"/>
        <v/>
      </c>
      <c r="Q45" s="57" t="str">
        <f t="shared" si="1"/>
        <v/>
      </c>
      <c r="R45" s="58" t="str">
        <f t="shared" si="2"/>
        <v/>
      </c>
      <c r="S45" s="28"/>
      <c r="T45" s="57">
        <f>IFERROR(AE45+AG45*IF(AB45="",1,IFERROR(VLOOKUP(AB45,DEFAULTS!$M$3:$Q$6,IFERROR(MATCH($B$3,DEFAULTS!$N$2:$Q$2,0)+1,2),0),1))+AI45+AK45*IF(AC45="",1,IFERROR(VLOOKUP(AC45,DEFAULTS!$M$3:$Q$6,IFERROR(MATCH($B$3,DEFAULTS!$N$2:$Q$2,0)+1,2),0),1))+AM45,"")</f>
        <v>0</v>
      </c>
      <c r="U45" s="28"/>
      <c r="V45" s="59">
        <f t="shared" si="3"/>
        <v>0</v>
      </c>
      <c r="W45" s="28"/>
      <c r="X45" s="28"/>
      <c r="Y45" s="28"/>
      <c r="Z45" s="28"/>
      <c r="AA45" s="57">
        <f t="shared" si="16"/>
        <v>0</v>
      </c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60" t="str">
        <f>IFERROR(VLOOKUP(AD45,'RATE MASTER'!$A:$G,7,0)+IFERROR(VLOOKUP(AE45,'RATE MASTER'!$K$7:$M$10,3,1),0),"")</f>
        <v/>
      </c>
      <c r="AO45" s="60" t="str">
        <f>IFERROR(VLOOKUP(AF45,'RATE MASTER'!$A:$G,7,0)+IFERROR(VLOOKUP(AG45,'RATE MASTER'!$K$7:$M$10,3,1),0),"")</f>
        <v/>
      </c>
      <c r="AP45" s="60" t="str">
        <f>IFERROR(VLOOKUP(AH45,'RATE MASTER'!$A:$G,7,0)+IFERROR(VLOOKUP(AI45,'RATE MASTER'!$K$7:$M$10,3,1),0),"")</f>
        <v/>
      </c>
      <c r="AQ45" s="60" t="str">
        <f>IFERROR(VLOOKUP(AJ45,'RATE MASTER'!$A:$G,7,0)+IFERROR(VLOOKUP(AK45,'RATE MASTER'!$K$7:$M$10,3,1),0),"")</f>
        <v/>
      </c>
      <c r="AR45" s="60" t="str">
        <f>IFERROR(VLOOKUP(AL45,'RATE MASTER'!$A:$G,7,0)+IFERROR(VLOOKUP(AM45,'RATE MASTER'!$K$7:$M$10,3,1),0),"")</f>
        <v/>
      </c>
      <c r="AS45" s="61">
        <f t="shared" si="17"/>
        <v>0</v>
      </c>
      <c r="AT45" s="61">
        <f>IFERROR((AG45/1000)*R45*IF(AB45="",1,IFERROR(VLOOKUP(AB45,DEFAULTS!$M$3:$Q$6,IFERROR(MATCH($B$3,DEFAULTS!$N$2:$Q$2,0)+1,2),0),1))*(1+IF(B45="Box",$AY$3,$AY$4)),0)</f>
        <v>0</v>
      </c>
      <c r="AU45" s="61">
        <f t="shared" si="18"/>
        <v>0</v>
      </c>
      <c r="AV45" s="61">
        <f>IFERROR((AK45/1000)*R45*IF(AC45="",1,IFERROR(VLOOKUP(AC45,DEFAULTS!$M$3:$Q$6,IFERROR(MATCH($B$3,DEFAULTS!$N$2:$Q$2,0)+1,2),0),1))*(1+IF(B45="Box",$AY$3,$AY$4)),0)</f>
        <v>0</v>
      </c>
      <c r="AW45" s="61">
        <f t="shared" si="19"/>
        <v>0</v>
      </c>
      <c r="AX45" s="62">
        <f t="shared" si="4"/>
        <v>0</v>
      </c>
      <c r="AY45" s="62">
        <f t="shared" si="5"/>
        <v>0</v>
      </c>
      <c r="AZ45" s="63">
        <f t="shared" si="6"/>
        <v>0</v>
      </c>
      <c r="BA45" s="8">
        <f t="shared" si="7"/>
        <v>0</v>
      </c>
      <c r="BB45" s="8"/>
      <c r="BC45" s="8"/>
      <c r="BD45" s="8"/>
      <c r="BE45" s="8"/>
      <c r="BF45" s="8"/>
      <c r="BG45" s="8"/>
      <c r="BH45" s="8"/>
      <c r="BI45" s="8"/>
      <c r="BJ45" s="8">
        <f t="shared" si="8"/>
        <v>0</v>
      </c>
      <c r="BK45" s="8">
        <f>IFERROR(AY45*IFERROR(IF($BK$4="",VLOOKUP(E45,DEFAULTS!$S$3:$V$20,IFERROR(MATCH($B$3,DEFAULTS!$T$3:$V$3,0)+1,2),0),$BK$4),0),0)</f>
        <v>0</v>
      </c>
      <c r="BL45" s="63">
        <f t="shared" si="9"/>
        <v>0</v>
      </c>
      <c r="BM45" s="45">
        <f t="shared" si="20"/>
        <v>0.02</v>
      </c>
      <c r="BN45" s="8">
        <f t="shared" si="10"/>
        <v>0</v>
      </c>
      <c r="BO45" s="64">
        <f t="shared" si="11"/>
        <v>0</v>
      </c>
      <c r="BP45" s="8" t="str">
        <f t="shared" si="12"/>
        <v/>
      </c>
      <c r="BQ45" s="57" t="str">
        <f t="shared" si="13"/>
        <v/>
      </c>
      <c r="BR45" s="57"/>
      <c r="BS45" s="57" t="str">
        <f t="shared" si="14"/>
        <v/>
      </c>
      <c r="BT45" s="8" t="str">
        <f t="shared" si="15"/>
        <v/>
      </c>
    </row>
    <row r="46" spans="1:72" ht="15" customHeight="1" x14ac:dyDescent="0.45">
      <c r="A46" s="53" t="str">
        <f>IF(B46="","",IF(B46="Box",COUNTIF($B$7:B46,"Box"),TEXT(COUNTIF($B$7:B46,"Box"),"0")&amp;IF(B46="Plate","a",IF(B46="Part-L","b",IF(B46="Part-W","c","")))))</f>
        <v/>
      </c>
      <c r="B46" s="28"/>
      <c r="C46" s="28"/>
      <c r="D46" s="54"/>
      <c r="E46" s="54"/>
      <c r="F46" s="55" t="str">
        <f>IF(OR(B46="",B46="Box"),"",IF(B46="Plate",IFERROR(LOOKUP(2,1/(B$7:B45="Box"),F$7:F45)-5,""),""))</f>
        <v/>
      </c>
      <c r="G46" s="55" t="str">
        <f>IF(OR(B46="",B46="Box"),"",IF(B46="Plate",IFERROR(LOOKUP(2,1/(B$7:B45="Box"),G$7:G45)-5,""),IF(OR(B46="Part-L",B46="Part-W"),IFERROR(LOOKUP(2,1/(B$7:B45="Box"),H$7:H45)-15,""),"")))</f>
        <v/>
      </c>
      <c r="H46" s="28"/>
      <c r="I46" s="28"/>
      <c r="J46" s="28"/>
      <c r="K46" s="28"/>
      <c r="L46" s="56" t="str">
        <f>IFERROR(INDEX(DEFAULTS!$E:$E,MATCH(I46,DEFAULTS!$A:$A,0)),"")</f>
        <v/>
      </c>
      <c r="M46" s="56" t="str">
        <f>IFERROR(INDEX(DEFAULTS!$F:$F,MATCH(I46,DEFAULTS!$A:$A,0)),"")</f>
        <v/>
      </c>
      <c r="N46" s="56" t="str">
        <f>IFERROR(INDEX(DEFAULTS!$G:$G,MATCH(I46,DEFAULTS!$A:$A,0)),"")</f>
        <v/>
      </c>
      <c r="O46" s="56" t="str">
        <f>IFERROR(INDEX(DEFAULTS!$H:$H,MATCH(I46,DEFAULTS!$A:$A,0)),"")</f>
        <v/>
      </c>
      <c r="P46" s="57" t="str">
        <f t="shared" si="0"/>
        <v/>
      </c>
      <c r="Q46" s="57" t="str">
        <f t="shared" si="1"/>
        <v/>
      </c>
      <c r="R46" s="58" t="str">
        <f t="shared" si="2"/>
        <v/>
      </c>
      <c r="S46" s="28"/>
      <c r="T46" s="57">
        <f>IFERROR(AE46+AG46*IF(AB46="",1,IFERROR(VLOOKUP(AB46,DEFAULTS!$M$3:$Q$6,IFERROR(MATCH($B$3,DEFAULTS!$N$2:$Q$2,0)+1,2),0),1))+AI46+AK46*IF(AC46="",1,IFERROR(VLOOKUP(AC46,DEFAULTS!$M$3:$Q$6,IFERROR(MATCH($B$3,DEFAULTS!$N$2:$Q$2,0)+1,2),0),1))+AM46,"")</f>
        <v>0</v>
      </c>
      <c r="U46" s="28"/>
      <c r="V46" s="59">
        <f t="shared" si="3"/>
        <v>0</v>
      </c>
      <c r="W46" s="28"/>
      <c r="X46" s="28"/>
      <c r="Y46" s="28"/>
      <c r="Z46" s="28"/>
      <c r="AA46" s="57">
        <f t="shared" si="16"/>
        <v>0</v>
      </c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60" t="str">
        <f>IFERROR(VLOOKUP(AD46,'RATE MASTER'!$A:$G,7,0)+IFERROR(VLOOKUP(AE46,'RATE MASTER'!$K$7:$M$10,3,1),0),"")</f>
        <v/>
      </c>
      <c r="AO46" s="60" t="str">
        <f>IFERROR(VLOOKUP(AF46,'RATE MASTER'!$A:$G,7,0)+IFERROR(VLOOKUP(AG46,'RATE MASTER'!$K$7:$M$10,3,1),0),"")</f>
        <v/>
      </c>
      <c r="AP46" s="60" t="str">
        <f>IFERROR(VLOOKUP(AH46,'RATE MASTER'!$A:$G,7,0)+IFERROR(VLOOKUP(AI46,'RATE MASTER'!$K$7:$M$10,3,1),0),"")</f>
        <v/>
      </c>
      <c r="AQ46" s="60" t="str">
        <f>IFERROR(VLOOKUP(AJ46,'RATE MASTER'!$A:$G,7,0)+IFERROR(VLOOKUP(AK46,'RATE MASTER'!$K$7:$M$10,3,1),0),"")</f>
        <v/>
      </c>
      <c r="AR46" s="60" t="str">
        <f>IFERROR(VLOOKUP(AL46,'RATE MASTER'!$A:$G,7,0)+IFERROR(VLOOKUP(AM46,'RATE MASTER'!$K$7:$M$10,3,1),0),"")</f>
        <v/>
      </c>
      <c r="AS46" s="61">
        <f t="shared" si="17"/>
        <v>0</v>
      </c>
      <c r="AT46" s="61">
        <f>IFERROR((AG46/1000)*R46*IF(AB46="",1,IFERROR(VLOOKUP(AB46,DEFAULTS!$M$3:$Q$6,IFERROR(MATCH($B$3,DEFAULTS!$N$2:$Q$2,0)+1,2),0),1))*(1+IF(B46="Box",$AY$3,$AY$4)),0)</f>
        <v>0</v>
      </c>
      <c r="AU46" s="61">
        <f t="shared" si="18"/>
        <v>0</v>
      </c>
      <c r="AV46" s="61">
        <f>IFERROR((AK46/1000)*R46*IF(AC46="",1,IFERROR(VLOOKUP(AC46,DEFAULTS!$M$3:$Q$6,IFERROR(MATCH($B$3,DEFAULTS!$N$2:$Q$2,0)+1,2),0),1))*(1+IF(B46="Box",$AY$3,$AY$4)),0)</f>
        <v>0</v>
      </c>
      <c r="AW46" s="61">
        <f t="shared" si="19"/>
        <v>0</v>
      </c>
      <c r="AX46" s="62">
        <f t="shared" si="4"/>
        <v>0</v>
      </c>
      <c r="AY46" s="62">
        <f t="shared" si="5"/>
        <v>0</v>
      </c>
      <c r="AZ46" s="63">
        <f t="shared" si="6"/>
        <v>0</v>
      </c>
      <c r="BA46" s="8">
        <f t="shared" si="7"/>
        <v>0</v>
      </c>
      <c r="BB46" s="8"/>
      <c r="BC46" s="8"/>
      <c r="BD46" s="8"/>
      <c r="BE46" s="8"/>
      <c r="BF46" s="8"/>
      <c r="BG46" s="8"/>
      <c r="BH46" s="8"/>
      <c r="BI46" s="8"/>
      <c r="BJ46" s="8">
        <f t="shared" si="8"/>
        <v>0</v>
      </c>
      <c r="BK46" s="8">
        <f>IFERROR(AY46*IFERROR(IF($BK$4="",VLOOKUP(E46,DEFAULTS!$S$3:$V$20,IFERROR(MATCH($B$3,DEFAULTS!$T$3:$V$3,0)+1,2),0),$BK$4),0),0)</f>
        <v>0</v>
      </c>
      <c r="BL46" s="63">
        <f t="shared" si="9"/>
        <v>0</v>
      </c>
      <c r="BM46" s="45">
        <f t="shared" si="20"/>
        <v>0.02</v>
      </c>
      <c r="BN46" s="8">
        <f t="shared" si="10"/>
        <v>0</v>
      </c>
      <c r="BO46" s="64">
        <f t="shared" si="11"/>
        <v>0</v>
      </c>
      <c r="BP46" s="8" t="str">
        <f t="shared" si="12"/>
        <v/>
      </c>
      <c r="BQ46" s="57" t="str">
        <f t="shared" si="13"/>
        <v/>
      </c>
      <c r="BR46" s="57"/>
      <c r="BS46" s="57" t="str">
        <f t="shared" si="14"/>
        <v/>
      </c>
      <c r="BT46" s="8" t="str">
        <f t="shared" si="15"/>
        <v/>
      </c>
    </row>
    <row r="47" spans="1:72" ht="15" customHeight="1" x14ac:dyDescent="0.45">
      <c r="A47" s="53" t="str">
        <f>IF(B47="","",IF(B47="Box",COUNTIF($B$7:B47,"Box"),TEXT(COUNTIF($B$7:B47,"Box"),"0")&amp;IF(B47="Plate","a",IF(B47="Part-L","b",IF(B47="Part-W","c","")))))</f>
        <v/>
      </c>
      <c r="B47" s="28"/>
      <c r="C47" s="28"/>
      <c r="D47" s="54"/>
      <c r="E47" s="54"/>
      <c r="F47" s="55" t="str">
        <f>IF(OR(B47="",B47="Box"),"",IF(B47="Plate",IFERROR(LOOKUP(2,1/(B$7:B46="Box"),F$7:F46)-5,""),""))</f>
        <v/>
      </c>
      <c r="G47" s="55" t="str">
        <f>IF(OR(B47="",B47="Box"),"",IF(B47="Plate",IFERROR(LOOKUP(2,1/(B$7:B46="Box"),G$7:G46)-5,""),IF(OR(B47="Part-L",B47="Part-W"),IFERROR(LOOKUP(2,1/(B$7:B46="Box"),H$7:H46)-15,""),"")))</f>
        <v/>
      </c>
      <c r="H47" s="28"/>
      <c r="I47" s="28"/>
      <c r="J47" s="28"/>
      <c r="K47" s="28"/>
      <c r="L47" s="56" t="str">
        <f>IFERROR(INDEX(DEFAULTS!$E:$E,MATCH(I47,DEFAULTS!$A:$A,0)),"")</f>
        <v/>
      </c>
      <c r="M47" s="56" t="str">
        <f>IFERROR(INDEX(DEFAULTS!$F:$F,MATCH(I47,DEFAULTS!$A:$A,0)),"")</f>
        <v/>
      </c>
      <c r="N47" s="56" t="str">
        <f>IFERROR(INDEX(DEFAULTS!$G:$G,MATCH(I47,DEFAULTS!$A:$A,0)),"")</f>
        <v/>
      </c>
      <c r="O47" s="56" t="str">
        <f>IFERROR(INDEX(DEFAULTS!$H:$H,MATCH(I47,DEFAULTS!$A:$A,0)),"")</f>
        <v/>
      </c>
      <c r="P47" s="57" t="str">
        <f t="shared" si="0"/>
        <v/>
      </c>
      <c r="Q47" s="57" t="str">
        <f t="shared" si="1"/>
        <v/>
      </c>
      <c r="R47" s="58" t="str">
        <f t="shared" si="2"/>
        <v/>
      </c>
      <c r="S47" s="28"/>
      <c r="T47" s="57">
        <f>IFERROR(AE47+AG47*IF(AB47="",1,IFERROR(VLOOKUP(AB47,DEFAULTS!$M$3:$Q$6,IFERROR(MATCH($B$3,DEFAULTS!$N$2:$Q$2,0)+1,2),0),1))+AI47+AK47*IF(AC47="",1,IFERROR(VLOOKUP(AC47,DEFAULTS!$M$3:$Q$6,IFERROR(MATCH($B$3,DEFAULTS!$N$2:$Q$2,0)+1,2),0),1))+AM47,"")</f>
        <v>0</v>
      </c>
      <c r="U47" s="28"/>
      <c r="V47" s="59">
        <f t="shared" si="3"/>
        <v>0</v>
      </c>
      <c r="W47" s="28"/>
      <c r="X47" s="28"/>
      <c r="Y47" s="28"/>
      <c r="Z47" s="28"/>
      <c r="AA47" s="57">
        <f t="shared" si="16"/>
        <v>0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60" t="str">
        <f>IFERROR(VLOOKUP(AD47,'RATE MASTER'!$A:$G,7,0)+IFERROR(VLOOKUP(AE47,'RATE MASTER'!$K$7:$M$10,3,1),0),"")</f>
        <v/>
      </c>
      <c r="AO47" s="60" t="str">
        <f>IFERROR(VLOOKUP(AF47,'RATE MASTER'!$A:$G,7,0)+IFERROR(VLOOKUP(AG47,'RATE MASTER'!$K$7:$M$10,3,1),0),"")</f>
        <v/>
      </c>
      <c r="AP47" s="60" t="str">
        <f>IFERROR(VLOOKUP(AH47,'RATE MASTER'!$A:$G,7,0)+IFERROR(VLOOKUP(AI47,'RATE MASTER'!$K$7:$M$10,3,1),0),"")</f>
        <v/>
      </c>
      <c r="AQ47" s="60" t="str">
        <f>IFERROR(VLOOKUP(AJ47,'RATE MASTER'!$A:$G,7,0)+IFERROR(VLOOKUP(AK47,'RATE MASTER'!$K$7:$M$10,3,1),0),"")</f>
        <v/>
      </c>
      <c r="AR47" s="60" t="str">
        <f>IFERROR(VLOOKUP(AL47,'RATE MASTER'!$A:$G,7,0)+IFERROR(VLOOKUP(AM47,'RATE MASTER'!$K$7:$M$10,3,1),0),"")</f>
        <v/>
      </c>
      <c r="AS47" s="61">
        <f t="shared" si="17"/>
        <v>0</v>
      </c>
      <c r="AT47" s="61">
        <f>IFERROR((AG47/1000)*R47*IF(AB47="",1,IFERROR(VLOOKUP(AB47,DEFAULTS!$M$3:$Q$6,IFERROR(MATCH($B$3,DEFAULTS!$N$2:$Q$2,0)+1,2),0),1))*(1+IF(B47="Box",$AY$3,$AY$4)),0)</f>
        <v>0</v>
      </c>
      <c r="AU47" s="61">
        <f t="shared" si="18"/>
        <v>0</v>
      </c>
      <c r="AV47" s="61">
        <f>IFERROR((AK47/1000)*R47*IF(AC47="",1,IFERROR(VLOOKUP(AC47,DEFAULTS!$M$3:$Q$6,IFERROR(MATCH($B$3,DEFAULTS!$N$2:$Q$2,0)+1,2),0),1))*(1+IF(B47="Box",$AY$3,$AY$4)),0)</f>
        <v>0</v>
      </c>
      <c r="AW47" s="61">
        <f t="shared" si="19"/>
        <v>0</v>
      </c>
      <c r="AX47" s="62">
        <f t="shared" si="4"/>
        <v>0</v>
      </c>
      <c r="AY47" s="62">
        <f t="shared" si="5"/>
        <v>0</v>
      </c>
      <c r="AZ47" s="63">
        <f t="shared" si="6"/>
        <v>0</v>
      </c>
      <c r="BA47" s="8">
        <f t="shared" si="7"/>
        <v>0</v>
      </c>
      <c r="BB47" s="8"/>
      <c r="BC47" s="8"/>
      <c r="BD47" s="8"/>
      <c r="BE47" s="8"/>
      <c r="BF47" s="8"/>
      <c r="BG47" s="8"/>
      <c r="BH47" s="8"/>
      <c r="BI47" s="8"/>
      <c r="BJ47" s="8">
        <f t="shared" si="8"/>
        <v>0</v>
      </c>
      <c r="BK47" s="8">
        <f>IFERROR(AY47*IFERROR(IF($BK$4="",VLOOKUP(E47,DEFAULTS!$S$3:$V$20,IFERROR(MATCH($B$3,DEFAULTS!$T$3:$V$3,0)+1,2),0),$BK$4),0),0)</f>
        <v>0</v>
      </c>
      <c r="BL47" s="63">
        <f t="shared" si="9"/>
        <v>0</v>
      </c>
      <c r="BM47" s="45">
        <f t="shared" si="20"/>
        <v>0.02</v>
      </c>
      <c r="BN47" s="8">
        <f t="shared" si="10"/>
        <v>0</v>
      </c>
      <c r="BO47" s="64">
        <f t="shared" si="11"/>
        <v>0</v>
      </c>
      <c r="BP47" s="8" t="str">
        <f t="shared" si="12"/>
        <v/>
      </c>
      <c r="BQ47" s="57" t="str">
        <f t="shared" si="13"/>
        <v/>
      </c>
      <c r="BR47" s="57"/>
      <c r="BS47" s="57" t="str">
        <f t="shared" si="14"/>
        <v/>
      </c>
      <c r="BT47" s="8" t="str">
        <f t="shared" si="15"/>
        <v/>
      </c>
    </row>
    <row r="48" spans="1:72" ht="15" customHeight="1" x14ac:dyDescent="0.45">
      <c r="A48" s="53" t="str">
        <f>IF(B48="","",IF(B48="Box",COUNTIF($B$7:B48,"Box"),TEXT(COUNTIF($B$7:B48,"Box"),"0")&amp;IF(B48="Plate","a",IF(B48="Part-L","b",IF(B48="Part-W","c","")))))</f>
        <v/>
      </c>
      <c r="B48" s="28"/>
      <c r="C48" s="28"/>
      <c r="D48" s="54"/>
      <c r="E48" s="54"/>
      <c r="F48" s="55" t="str">
        <f>IF(OR(B48="",B48="Box"),"",IF(B48="Plate",IFERROR(LOOKUP(2,1/(B$7:B47="Box"),F$7:F47)-5,""),""))</f>
        <v/>
      </c>
      <c r="G48" s="55" t="str">
        <f>IF(OR(B48="",B48="Box"),"",IF(B48="Plate",IFERROR(LOOKUP(2,1/(B$7:B47="Box"),G$7:G47)-5,""),IF(OR(B48="Part-L",B48="Part-W"),IFERROR(LOOKUP(2,1/(B$7:B47="Box"),H$7:H47)-15,""),"")))</f>
        <v/>
      </c>
      <c r="H48" s="28"/>
      <c r="I48" s="28"/>
      <c r="J48" s="28"/>
      <c r="K48" s="28"/>
      <c r="L48" s="56" t="str">
        <f>IFERROR(INDEX(DEFAULTS!$E:$E,MATCH(I48,DEFAULTS!$A:$A,0)),"")</f>
        <v/>
      </c>
      <c r="M48" s="56" t="str">
        <f>IFERROR(INDEX(DEFAULTS!$F:$F,MATCH(I48,DEFAULTS!$A:$A,0)),"")</f>
        <v/>
      </c>
      <c r="N48" s="56" t="str">
        <f>IFERROR(INDEX(DEFAULTS!$G:$G,MATCH(I48,DEFAULTS!$A:$A,0)),"")</f>
        <v/>
      </c>
      <c r="O48" s="56" t="str">
        <f>IFERROR(INDEX(DEFAULTS!$H:$H,MATCH(I48,DEFAULTS!$A:$A,0)),"")</f>
        <v/>
      </c>
      <c r="P48" s="57" t="str">
        <f t="shared" si="0"/>
        <v/>
      </c>
      <c r="Q48" s="57" t="str">
        <f t="shared" si="1"/>
        <v/>
      </c>
      <c r="R48" s="58" t="str">
        <f t="shared" si="2"/>
        <v/>
      </c>
      <c r="S48" s="28"/>
      <c r="T48" s="57">
        <f>IFERROR(AE48+AG48*IF(AB48="",1,IFERROR(VLOOKUP(AB48,DEFAULTS!$M$3:$Q$6,IFERROR(MATCH($B$3,DEFAULTS!$N$2:$Q$2,0)+1,2),0),1))+AI48+AK48*IF(AC48="",1,IFERROR(VLOOKUP(AC48,DEFAULTS!$M$3:$Q$6,IFERROR(MATCH($B$3,DEFAULTS!$N$2:$Q$2,0)+1,2),0),1))+AM48,"")</f>
        <v>0</v>
      </c>
      <c r="U48" s="28"/>
      <c r="V48" s="59">
        <f t="shared" si="3"/>
        <v>0</v>
      </c>
      <c r="W48" s="28"/>
      <c r="X48" s="28"/>
      <c r="Y48" s="28"/>
      <c r="Z48" s="28"/>
      <c r="AA48" s="57">
        <f t="shared" si="16"/>
        <v>0</v>
      </c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60" t="str">
        <f>IFERROR(VLOOKUP(AD48,'RATE MASTER'!$A:$G,7,0)+IFERROR(VLOOKUP(AE48,'RATE MASTER'!$K$7:$M$10,3,1),0),"")</f>
        <v/>
      </c>
      <c r="AO48" s="60" t="str">
        <f>IFERROR(VLOOKUP(AF48,'RATE MASTER'!$A:$G,7,0)+IFERROR(VLOOKUP(AG48,'RATE MASTER'!$K$7:$M$10,3,1),0),"")</f>
        <v/>
      </c>
      <c r="AP48" s="60" t="str">
        <f>IFERROR(VLOOKUP(AH48,'RATE MASTER'!$A:$G,7,0)+IFERROR(VLOOKUP(AI48,'RATE MASTER'!$K$7:$M$10,3,1),0),"")</f>
        <v/>
      </c>
      <c r="AQ48" s="60" t="str">
        <f>IFERROR(VLOOKUP(AJ48,'RATE MASTER'!$A:$G,7,0)+IFERROR(VLOOKUP(AK48,'RATE MASTER'!$K$7:$M$10,3,1),0),"")</f>
        <v/>
      </c>
      <c r="AR48" s="60" t="str">
        <f>IFERROR(VLOOKUP(AL48,'RATE MASTER'!$A:$G,7,0)+IFERROR(VLOOKUP(AM48,'RATE MASTER'!$K$7:$M$10,3,1),0),"")</f>
        <v/>
      </c>
      <c r="AS48" s="61">
        <f t="shared" si="17"/>
        <v>0</v>
      </c>
      <c r="AT48" s="61">
        <f>IFERROR((AG48/1000)*R48*IF(AB48="",1,IFERROR(VLOOKUP(AB48,DEFAULTS!$M$3:$Q$6,IFERROR(MATCH($B$3,DEFAULTS!$N$2:$Q$2,0)+1,2),0),1))*(1+IF(B48="Box",$AY$3,$AY$4)),0)</f>
        <v>0</v>
      </c>
      <c r="AU48" s="61">
        <f t="shared" si="18"/>
        <v>0</v>
      </c>
      <c r="AV48" s="61">
        <f>IFERROR((AK48/1000)*R48*IF(AC48="",1,IFERROR(VLOOKUP(AC48,DEFAULTS!$M$3:$Q$6,IFERROR(MATCH($B$3,DEFAULTS!$N$2:$Q$2,0)+1,2),0),1))*(1+IF(B48="Box",$AY$3,$AY$4)),0)</f>
        <v>0</v>
      </c>
      <c r="AW48" s="61">
        <f t="shared" si="19"/>
        <v>0</v>
      </c>
      <c r="AX48" s="62">
        <f t="shared" si="4"/>
        <v>0</v>
      </c>
      <c r="AY48" s="62">
        <f t="shared" si="5"/>
        <v>0</v>
      </c>
      <c r="AZ48" s="63">
        <f t="shared" si="6"/>
        <v>0</v>
      </c>
      <c r="BA48" s="8">
        <f t="shared" si="7"/>
        <v>0</v>
      </c>
      <c r="BB48" s="8"/>
      <c r="BC48" s="8"/>
      <c r="BD48" s="8"/>
      <c r="BE48" s="8"/>
      <c r="BF48" s="8"/>
      <c r="BG48" s="8"/>
      <c r="BH48" s="8"/>
      <c r="BI48" s="8"/>
      <c r="BJ48" s="8">
        <f t="shared" si="8"/>
        <v>0</v>
      </c>
      <c r="BK48" s="8">
        <f>IFERROR(AY48*IFERROR(IF($BK$4="",VLOOKUP(E48,DEFAULTS!$S$3:$V$20,IFERROR(MATCH($B$3,DEFAULTS!$T$3:$V$3,0)+1,2),0),$BK$4),0),0)</f>
        <v>0</v>
      </c>
      <c r="BL48" s="63">
        <f t="shared" si="9"/>
        <v>0</v>
      </c>
      <c r="BM48" s="45">
        <f t="shared" si="20"/>
        <v>0.02</v>
      </c>
      <c r="BN48" s="8">
        <f t="shared" si="10"/>
        <v>0</v>
      </c>
      <c r="BO48" s="64">
        <f t="shared" si="11"/>
        <v>0</v>
      </c>
      <c r="BP48" s="8" t="str">
        <f t="shared" si="12"/>
        <v/>
      </c>
      <c r="BQ48" s="57" t="str">
        <f t="shared" si="13"/>
        <v/>
      </c>
      <c r="BR48" s="57"/>
      <c r="BS48" s="57" t="str">
        <f t="shared" si="14"/>
        <v/>
      </c>
      <c r="BT48" s="8" t="str">
        <f t="shared" si="15"/>
        <v/>
      </c>
    </row>
    <row r="49" spans="1:72" ht="15" customHeight="1" x14ac:dyDescent="0.45">
      <c r="A49" s="53" t="str">
        <f>IF(B49="","",IF(B49="Box",COUNTIF($B$7:B49,"Box"),TEXT(COUNTIF($B$7:B49,"Box"),"0")&amp;IF(B49="Plate","a",IF(B49="Part-L","b",IF(B49="Part-W","c","")))))</f>
        <v/>
      </c>
      <c r="B49" s="28"/>
      <c r="C49" s="28"/>
      <c r="D49" s="54"/>
      <c r="E49" s="54"/>
      <c r="F49" s="55" t="str">
        <f>IF(OR(B49="",B49="Box"),"",IF(B49="Plate",IFERROR(LOOKUP(2,1/(B$7:B48="Box"),F$7:F48)-5,""),""))</f>
        <v/>
      </c>
      <c r="G49" s="55" t="str">
        <f>IF(OR(B49="",B49="Box"),"",IF(B49="Plate",IFERROR(LOOKUP(2,1/(B$7:B48="Box"),G$7:G48)-5,""),IF(OR(B49="Part-L",B49="Part-W"),IFERROR(LOOKUP(2,1/(B$7:B48="Box"),H$7:H48)-15,""),"")))</f>
        <v/>
      </c>
      <c r="H49" s="28"/>
      <c r="I49" s="28"/>
      <c r="J49" s="28"/>
      <c r="K49" s="28"/>
      <c r="L49" s="56" t="str">
        <f>IFERROR(INDEX(DEFAULTS!$E:$E,MATCH(I49,DEFAULTS!$A:$A,0)),"")</f>
        <v/>
      </c>
      <c r="M49" s="56" t="str">
        <f>IFERROR(INDEX(DEFAULTS!$F:$F,MATCH(I49,DEFAULTS!$A:$A,0)),"")</f>
        <v/>
      </c>
      <c r="N49" s="56" t="str">
        <f>IFERROR(INDEX(DEFAULTS!$G:$G,MATCH(I49,DEFAULTS!$A:$A,0)),"")</f>
        <v/>
      </c>
      <c r="O49" s="56" t="str">
        <f>IFERROR(INDEX(DEFAULTS!$H:$H,MATCH(I49,DEFAULTS!$A:$A,0)),"")</f>
        <v/>
      </c>
      <c r="P49" s="57" t="str">
        <f t="shared" si="0"/>
        <v/>
      </c>
      <c r="Q49" s="57" t="str">
        <f t="shared" si="1"/>
        <v/>
      </c>
      <c r="R49" s="58" t="str">
        <f t="shared" si="2"/>
        <v/>
      </c>
      <c r="S49" s="28"/>
      <c r="T49" s="57">
        <f>IFERROR(AE49+AG49*IF(AB49="",1,IFERROR(VLOOKUP(AB49,DEFAULTS!$M$3:$Q$6,IFERROR(MATCH($B$3,DEFAULTS!$N$2:$Q$2,0)+1,2),0),1))+AI49+AK49*IF(AC49="",1,IFERROR(VLOOKUP(AC49,DEFAULTS!$M$3:$Q$6,IFERROR(MATCH($B$3,DEFAULTS!$N$2:$Q$2,0)+1,2),0),1))+AM49,"")</f>
        <v>0</v>
      </c>
      <c r="U49" s="28"/>
      <c r="V49" s="59">
        <f t="shared" si="3"/>
        <v>0</v>
      </c>
      <c r="W49" s="28"/>
      <c r="X49" s="28"/>
      <c r="Y49" s="28"/>
      <c r="Z49" s="28"/>
      <c r="AA49" s="57">
        <f t="shared" si="16"/>
        <v>0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60" t="str">
        <f>IFERROR(VLOOKUP(AD49,'RATE MASTER'!$A:$G,7,0)+IFERROR(VLOOKUP(AE49,'RATE MASTER'!$K$7:$M$10,3,1),0),"")</f>
        <v/>
      </c>
      <c r="AO49" s="60" t="str">
        <f>IFERROR(VLOOKUP(AF49,'RATE MASTER'!$A:$G,7,0)+IFERROR(VLOOKUP(AG49,'RATE MASTER'!$K$7:$M$10,3,1),0),"")</f>
        <v/>
      </c>
      <c r="AP49" s="60" t="str">
        <f>IFERROR(VLOOKUP(AH49,'RATE MASTER'!$A:$G,7,0)+IFERROR(VLOOKUP(AI49,'RATE MASTER'!$K$7:$M$10,3,1),0),"")</f>
        <v/>
      </c>
      <c r="AQ49" s="60" t="str">
        <f>IFERROR(VLOOKUP(AJ49,'RATE MASTER'!$A:$G,7,0)+IFERROR(VLOOKUP(AK49,'RATE MASTER'!$K$7:$M$10,3,1),0),"")</f>
        <v/>
      </c>
      <c r="AR49" s="60" t="str">
        <f>IFERROR(VLOOKUP(AL49,'RATE MASTER'!$A:$G,7,0)+IFERROR(VLOOKUP(AM49,'RATE MASTER'!$K$7:$M$10,3,1),0),"")</f>
        <v/>
      </c>
      <c r="AS49" s="61">
        <f t="shared" si="17"/>
        <v>0</v>
      </c>
      <c r="AT49" s="61">
        <f>IFERROR((AG49/1000)*R49*IF(AB49="",1,IFERROR(VLOOKUP(AB49,DEFAULTS!$M$3:$Q$6,IFERROR(MATCH($B$3,DEFAULTS!$N$2:$Q$2,0)+1,2),0),1))*(1+IF(B49="Box",$AY$3,$AY$4)),0)</f>
        <v>0</v>
      </c>
      <c r="AU49" s="61">
        <f t="shared" si="18"/>
        <v>0</v>
      </c>
      <c r="AV49" s="61">
        <f>IFERROR((AK49/1000)*R49*IF(AC49="",1,IFERROR(VLOOKUP(AC49,DEFAULTS!$M$3:$Q$6,IFERROR(MATCH($B$3,DEFAULTS!$N$2:$Q$2,0)+1,2),0),1))*(1+IF(B49="Box",$AY$3,$AY$4)),0)</f>
        <v>0</v>
      </c>
      <c r="AW49" s="61">
        <f t="shared" si="19"/>
        <v>0</v>
      </c>
      <c r="AX49" s="62">
        <f t="shared" si="4"/>
        <v>0</v>
      </c>
      <c r="AY49" s="62">
        <f t="shared" si="5"/>
        <v>0</v>
      </c>
      <c r="AZ49" s="63">
        <f t="shared" si="6"/>
        <v>0</v>
      </c>
      <c r="BA49" s="8">
        <f t="shared" si="7"/>
        <v>0</v>
      </c>
      <c r="BB49" s="8"/>
      <c r="BC49" s="8"/>
      <c r="BD49" s="8"/>
      <c r="BE49" s="8"/>
      <c r="BF49" s="8"/>
      <c r="BG49" s="8"/>
      <c r="BH49" s="8"/>
      <c r="BI49" s="8"/>
      <c r="BJ49" s="8">
        <f t="shared" si="8"/>
        <v>0</v>
      </c>
      <c r="BK49" s="8">
        <f>IFERROR(AY49*IFERROR(IF($BK$4="",VLOOKUP(E49,DEFAULTS!$S$3:$V$20,IFERROR(MATCH($B$3,DEFAULTS!$T$3:$V$3,0)+1,2),0),$BK$4),0),0)</f>
        <v>0</v>
      </c>
      <c r="BL49" s="63">
        <f t="shared" si="9"/>
        <v>0</v>
      </c>
      <c r="BM49" s="45">
        <f t="shared" si="20"/>
        <v>0.02</v>
      </c>
      <c r="BN49" s="8">
        <f t="shared" si="10"/>
        <v>0</v>
      </c>
      <c r="BO49" s="64">
        <f t="shared" si="11"/>
        <v>0</v>
      </c>
      <c r="BP49" s="8" t="str">
        <f t="shared" si="12"/>
        <v/>
      </c>
      <c r="BQ49" s="57" t="str">
        <f t="shared" si="13"/>
        <v/>
      </c>
      <c r="BR49" s="57"/>
      <c r="BS49" s="57" t="str">
        <f t="shared" si="14"/>
        <v/>
      </c>
      <c r="BT49" s="8" t="str">
        <f t="shared" si="15"/>
        <v/>
      </c>
    </row>
    <row r="50" spans="1:72" ht="15" customHeight="1" x14ac:dyDescent="0.45">
      <c r="A50" s="53" t="str">
        <f>IF(B50="","",IF(B50="Box",COUNTIF($B$7:B50,"Box"),TEXT(COUNTIF($B$7:B50,"Box"),"0")&amp;IF(B50="Plate","a",IF(B50="Part-L","b",IF(B50="Part-W","c","")))))</f>
        <v/>
      </c>
      <c r="B50" s="28"/>
      <c r="C50" s="28"/>
      <c r="D50" s="54"/>
      <c r="E50" s="54"/>
      <c r="F50" s="55" t="str">
        <f>IF(OR(B50="",B50="Box"),"",IF(B50="Plate",IFERROR(LOOKUP(2,1/(B$7:B49="Box"),F$7:F49)-5,""),""))</f>
        <v/>
      </c>
      <c r="G50" s="55" t="str">
        <f>IF(OR(B50="",B50="Box"),"",IF(B50="Plate",IFERROR(LOOKUP(2,1/(B$7:B49="Box"),G$7:G49)-5,""),IF(OR(B50="Part-L",B50="Part-W"),IFERROR(LOOKUP(2,1/(B$7:B49="Box"),H$7:H49)-15,""),"")))</f>
        <v/>
      </c>
      <c r="H50" s="28"/>
      <c r="I50" s="28"/>
      <c r="J50" s="28"/>
      <c r="K50" s="28"/>
      <c r="L50" s="56" t="str">
        <f>IFERROR(INDEX(DEFAULTS!$E:$E,MATCH(I50,DEFAULTS!$A:$A,0)),"")</f>
        <v/>
      </c>
      <c r="M50" s="56" t="str">
        <f>IFERROR(INDEX(DEFAULTS!$F:$F,MATCH(I50,DEFAULTS!$A:$A,0)),"")</f>
        <v/>
      </c>
      <c r="N50" s="56" t="str">
        <f>IFERROR(INDEX(DEFAULTS!$G:$G,MATCH(I50,DEFAULTS!$A:$A,0)),"")</f>
        <v/>
      </c>
      <c r="O50" s="56" t="str">
        <f>IFERROR(INDEX(DEFAULTS!$H:$H,MATCH(I50,DEFAULTS!$A:$A,0)),"")</f>
        <v/>
      </c>
      <c r="P50" s="57" t="str">
        <f t="shared" si="0"/>
        <v/>
      </c>
      <c r="Q50" s="57" t="str">
        <f t="shared" si="1"/>
        <v/>
      </c>
      <c r="R50" s="58" t="str">
        <f t="shared" si="2"/>
        <v/>
      </c>
      <c r="S50" s="28"/>
      <c r="T50" s="57">
        <f>IFERROR(AE50+AG50*IF(AB50="",1,IFERROR(VLOOKUP(AB50,DEFAULTS!$M$3:$Q$6,IFERROR(MATCH($B$3,DEFAULTS!$N$2:$Q$2,0)+1,2),0),1))+AI50+AK50*IF(AC50="",1,IFERROR(VLOOKUP(AC50,DEFAULTS!$M$3:$Q$6,IFERROR(MATCH($B$3,DEFAULTS!$N$2:$Q$2,0)+1,2),0),1))+AM50,"")</f>
        <v>0</v>
      </c>
      <c r="U50" s="28"/>
      <c r="V50" s="59">
        <f t="shared" si="3"/>
        <v>0</v>
      </c>
      <c r="W50" s="28"/>
      <c r="X50" s="28"/>
      <c r="Y50" s="28"/>
      <c r="Z50" s="28"/>
      <c r="AA50" s="57">
        <f t="shared" si="16"/>
        <v>0</v>
      </c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60" t="str">
        <f>IFERROR(VLOOKUP(AD50,'RATE MASTER'!$A:$G,7,0)+IFERROR(VLOOKUP(AE50,'RATE MASTER'!$K$7:$M$10,3,1),0),"")</f>
        <v/>
      </c>
      <c r="AO50" s="60" t="str">
        <f>IFERROR(VLOOKUP(AF50,'RATE MASTER'!$A:$G,7,0)+IFERROR(VLOOKUP(AG50,'RATE MASTER'!$K$7:$M$10,3,1),0),"")</f>
        <v/>
      </c>
      <c r="AP50" s="60" t="str">
        <f>IFERROR(VLOOKUP(AH50,'RATE MASTER'!$A:$G,7,0)+IFERROR(VLOOKUP(AI50,'RATE MASTER'!$K$7:$M$10,3,1),0),"")</f>
        <v/>
      </c>
      <c r="AQ50" s="60" t="str">
        <f>IFERROR(VLOOKUP(AJ50,'RATE MASTER'!$A:$G,7,0)+IFERROR(VLOOKUP(AK50,'RATE MASTER'!$K$7:$M$10,3,1),0),"")</f>
        <v/>
      </c>
      <c r="AR50" s="60" t="str">
        <f>IFERROR(VLOOKUP(AL50,'RATE MASTER'!$A:$G,7,0)+IFERROR(VLOOKUP(AM50,'RATE MASTER'!$K$7:$M$10,3,1),0),"")</f>
        <v/>
      </c>
      <c r="AS50" s="61">
        <f t="shared" si="17"/>
        <v>0</v>
      </c>
      <c r="AT50" s="61">
        <f>IFERROR((AG50/1000)*R50*IF(AB50="",1,IFERROR(VLOOKUP(AB50,DEFAULTS!$M$3:$Q$6,IFERROR(MATCH($B$3,DEFAULTS!$N$2:$Q$2,0)+1,2),0),1))*(1+IF(B50="Box",$AY$3,$AY$4)),0)</f>
        <v>0</v>
      </c>
      <c r="AU50" s="61">
        <f t="shared" si="18"/>
        <v>0</v>
      </c>
      <c r="AV50" s="61">
        <f>IFERROR((AK50/1000)*R50*IF(AC50="",1,IFERROR(VLOOKUP(AC50,DEFAULTS!$M$3:$Q$6,IFERROR(MATCH($B$3,DEFAULTS!$N$2:$Q$2,0)+1,2),0),1))*(1+IF(B50="Box",$AY$3,$AY$4)),0)</f>
        <v>0</v>
      </c>
      <c r="AW50" s="61">
        <f t="shared" si="19"/>
        <v>0</v>
      </c>
      <c r="AX50" s="62">
        <f t="shared" si="4"/>
        <v>0</v>
      </c>
      <c r="AY50" s="62">
        <f t="shared" si="5"/>
        <v>0</v>
      </c>
      <c r="AZ50" s="63">
        <f t="shared" si="6"/>
        <v>0</v>
      </c>
      <c r="BA50" s="8">
        <f t="shared" si="7"/>
        <v>0</v>
      </c>
      <c r="BB50" s="8"/>
      <c r="BC50" s="8"/>
      <c r="BD50" s="8"/>
      <c r="BE50" s="8"/>
      <c r="BF50" s="8"/>
      <c r="BG50" s="8"/>
      <c r="BH50" s="8"/>
      <c r="BI50" s="8"/>
      <c r="BJ50" s="8">
        <f t="shared" si="8"/>
        <v>0</v>
      </c>
      <c r="BK50" s="8">
        <f>IFERROR(AY50*IFERROR(IF($BK$4="",VLOOKUP(E50,DEFAULTS!$S$3:$V$20,IFERROR(MATCH($B$3,DEFAULTS!$T$3:$V$3,0)+1,2),0),$BK$4),0),0)</f>
        <v>0</v>
      </c>
      <c r="BL50" s="63">
        <f t="shared" si="9"/>
        <v>0</v>
      </c>
      <c r="BM50" s="45">
        <f t="shared" si="20"/>
        <v>0.02</v>
      </c>
      <c r="BN50" s="8">
        <f t="shared" si="10"/>
        <v>0</v>
      </c>
      <c r="BO50" s="64">
        <f t="shared" si="11"/>
        <v>0</v>
      </c>
      <c r="BP50" s="8" t="str">
        <f t="shared" si="12"/>
        <v/>
      </c>
      <c r="BQ50" s="57" t="str">
        <f t="shared" si="13"/>
        <v/>
      </c>
      <c r="BR50" s="57"/>
      <c r="BS50" s="57" t="str">
        <f t="shared" si="14"/>
        <v/>
      </c>
      <c r="BT50" s="8" t="str">
        <f t="shared" si="15"/>
        <v/>
      </c>
    </row>
  </sheetData>
  <mergeCells count="12">
    <mergeCell ref="AZ5:BK5"/>
    <mergeCell ref="A5:E5"/>
    <mergeCell ref="AS5:AX5"/>
    <mergeCell ref="AN5:AR5"/>
    <mergeCell ref="BM5:BN5"/>
    <mergeCell ref="L5:O5"/>
    <mergeCell ref="AD5:AM5"/>
    <mergeCell ref="F5:H5"/>
    <mergeCell ref="P5:R5"/>
    <mergeCell ref="I5:K5"/>
    <mergeCell ref="AB5:AC5"/>
    <mergeCell ref="S5:AA5"/>
  </mergeCells>
  <dataValidations count="4">
    <dataValidation type="list" allowBlank="1" sqref="D3" xr:uid="{00000000-0002-0000-0200-000000000000}">
      <formula1>"PAINTS,ALCOBEV-GL,ALCOBEV-PET,ICE-CREAM,SOLAR-PANEL,SOLAR-CELL,COOLER,TEXTILE,FOOD-SVC,BISCUIT,CHIPS,PETROL,EDIBLE-OIL,FOOTWEAR,ELEC-LED,BEAUTY,CHEMICAL,FANS,PHARMA,FMCG-FOOD"</formula1>
      <formula2>0</formula2>
    </dataValidation>
    <dataValidation type="list" allowBlank="1" sqref="I7:I50" xr:uid="{00000000-0002-0000-0200-000001000000}">
      <formula1>"RSC,HRSC-R,HRSC-L,HRSC-O,Die-S,Die-R,Board,PP,Custom"</formula1>
      <formula2>0</formula2>
    </dataValidation>
    <dataValidation type="list" allowBlank="1" sqref="B7:B50" xr:uid="{00000000-0002-0000-0200-000002000000}">
      <formula1>"RS4,Plate,Part-L,Part-W"</formula1>
      <formula2>0</formula2>
    </dataValidation>
    <dataValidation type="list" allowBlank="1" sqref="AB7:AC50" xr:uid="{00000000-0002-0000-0200-000003000000}">
      <formula1>"A,B,C,E"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O46"/>
  <sheetViews>
    <sheetView showGridLines="0" topLeftCell="A6" zoomScaleNormal="100" workbookViewId="0">
      <selection activeCell="J9" sqref="J9"/>
    </sheetView>
  </sheetViews>
  <sheetFormatPr defaultColWidth="8.6640625" defaultRowHeight="14.25" x14ac:dyDescent="0.45"/>
  <cols>
    <col min="1" max="1" width="6" customWidth="1"/>
    <col min="2" max="2" width="12" customWidth="1"/>
    <col min="3" max="3" width="38" customWidth="1"/>
    <col min="4" max="4" width="16" customWidth="1"/>
    <col min="5" max="5" width="5" customWidth="1"/>
    <col min="6" max="8" width="8.59765625" customWidth="1"/>
    <col min="9" max="9" width="8" customWidth="1"/>
    <col min="10" max="10" width="15.06640625" customWidth="1"/>
  </cols>
  <sheetData>
    <row r="1" spans="1:15" ht="24" customHeight="1" x14ac:dyDescent="0.45">
      <c r="A1" s="110" t="s">
        <v>329</v>
      </c>
      <c r="B1" s="101"/>
      <c r="C1" s="101"/>
      <c r="D1" s="101"/>
      <c r="E1" s="101"/>
      <c r="F1" s="101"/>
      <c r="G1" s="101"/>
      <c r="H1" s="101"/>
      <c r="I1" s="101"/>
      <c r="J1" s="101"/>
    </row>
    <row r="3" spans="1:15" ht="15" customHeight="1" x14ac:dyDescent="0.45">
      <c r="A3" s="3" t="s">
        <v>330</v>
      </c>
      <c r="C3" s="65">
        <f>'CBB+PP'!D2</f>
        <v>0</v>
      </c>
    </row>
    <row r="4" spans="1:15" ht="15" customHeight="1" x14ac:dyDescent="0.45">
      <c r="A4" s="3" t="s">
        <v>7</v>
      </c>
      <c r="C4" s="66">
        <f>'CBB+PP'!B4</f>
        <v>0</v>
      </c>
    </row>
    <row r="5" spans="1:15" ht="15" customHeight="1" x14ac:dyDescent="0.45">
      <c r="A5" s="3" t="s">
        <v>331</v>
      </c>
      <c r="C5" s="65">
        <f>'CBB+PP'!D4</f>
        <v>0</v>
      </c>
    </row>
    <row r="7" spans="1:15" ht="30" customHeight="1" x14ac:dyDescent="0.45">
      <c r="A7" s="1" t="s">
        <v>332</v>
      </c>
      <c r="B7" s="1" t="s">
        <v>30</v>
      </c>
      <c r="C7" s="1" t="s">
        <v>333</v>
      </c>
      <c r="D7" s="1" t="s">
        <v>334</v>
      </c>
      <c r="E7" s="1" t="s">
        <v>335</v>
      </c>
      <c r="F7" s="1" t="s">
        <v>348</v>
      </c>
      <c r="G7" s="1" t="s">
        <v>349</v>
      </c>
      <c r="H7" s="1" t="s">
        <v>350</v>
      </c>
      <c r="I7" s="1" t="s">
        <v>27</v>
      </c>
      <c r="J7" s="1" t="s">
        <v>347</v>
      </c>
    </row>
    <row r="8" spans="1:15" ht="15" customHeight="1" x14ac:dyDescent="0.45">
      <c r="A8" s="29">
        <f>'CBB+PP'!A7</f>
        <v>1</v>
      </c>
      <c r="B8" s="29">
        <f>'CBB+PP'!C7</f>
        <v>0</v>
      </c>
      <c r="C8" s="6">
        <f>'CBB+PP'!D7</f>
        <v>0</v>
      </c>
      <c r="D8" s="29" t="str">
        <f>IFERROR('CBB+PP'!F7&amp;"×"&amp;'CBB+PP'!G7&amp;"×"&amp;'CBB+PP'!H7,"")</f>
        <v>××</v>
      </c>
      <c r="E8" s="29">
        <f>'CBB+PP'!J7</f>
        <v>0</v>
      </c>
      <c r="F8" s="29">
        <f>'CBB+PP'!S7</f>
        <v>0</v>
      </c>
      <c r="G8" s="88">
        <f>'CBB+PP'!U7</f>
        <v>0</v>
      </c>
      <c r="H8" s="29">
        <f>'CBB+PP'!W7</f>
        <v>0</v>
      </c>
      <c r="I8" s="67" t="str">
        <f>'CBB+PP'!BQ7</f>
        <v/>
      </c>
      <c r="J8" s="20">
        <f>'CBB+PP'!BT7</f>
        <v>0</v>
      </c>
    </row>
    <row r="9" spans="1:15" ht="15" customHeight="1" x14ac:dyDescent="0.45">
      <c r="A9" s="31" t="str">
        <f>'CBB+PP'!A8</f>
        <v/>
      </c>
      <c r="B9" s="31">
        <f>'CBB+PP'!C8</f>
        <v>0</v>
      </c>
      <c r="C9" s="11">
        <f>'CBB+PP'!D8</f>
        <v>0</v>
      </c>
      <c r="D9" s="31" t="str">
        <f>IFERROR('CBB+PP'!F8&amp;"×"&amp;'CBB+PP'!G8&amp;"×"&amp;'CBB+PP'!H8,"")</f>
        <v>××</v>
      </c>
      <c r="E9" s="31">
        <f>'CBB+PP'!J8</f>
        <v>0</v>
      </c>
      <c r="F9" s="31">
        <f>'CBB+PP'!S8</f>
        <v>0</v>
      </c>
      <c r="G9" s="89">
        <f>'CBB+PP'!U8</f>
        <v>0</v>
      </c>
      <c r="H9" s="31">
        <f>'CBB+PP'!W8</f>
        <v>0</v>
      </c>
      <c r="I9" s="68" t="str">
        <f>'CBB+PP'!BQ8</f>
        <v/>
      </c>
      <c r="J9" s="87" t="str">
        <f>'CBB+PP'!BT8</f>
        <v/>
      </c>
    </row>
    <row r="10" spans="1:15" ht="15" customHeight="1" x14ac:dyDescent="0.45">
      <c r="A10" s="29" t="str">
        <f>'CBB+PP'!A9</f>
        <v/>
      </c>
      <c r="B10" s="29">
        <f>'CBB+PP'!C9</f>
        <v>0</v>
      </c>
      <c r="C10" s="6">
        <f>'CBB+PP'!D9</f>
        <v>0</v>
      </c>
      <c r="D10" s="29" t="str">
        <f>IFERROR('CBB+PP'!F9&amp;"×"&amp;'CBB+PP'!G9&amp;"×"&amp;'CBB+PP'!H9,"")</f>
        <v>××</v>
      </c>
      <c r="E10" s="29">
        <f>'CBB+PP'!J9</f>
        <v>0</v>
      </c>
      <c r="F10" s="29">
        <f>'CBB+PP'!S9</f>
        <v>0</v>
      </c>
      <c r="G10" s="88">
        <f>'CBB+PP'!U9</f>
        <v>0</v>
      </c>
      <c r="H10" s="29">
        <f>'CBB+PP'!W9</f>
        <v>0</v>
      </c>
      <c r="I10" s="67" t="str">
        <f>'CBB+PP'!BQ9</f>
        <v/>
      </c>
      <c r="J10" s="20" t="str">
        <f>'CBB+PP'!BT9</f>
        <v/>
      </c>
    </row>
    <row r="11" spans="1:15" ht="15" customHeight="1" x14ac:dyDescent="0.45">
      <c r="A11" s="31" t="str">
        <f>'CBB+PP'!A10</f>
        <v/>
      </c>
      <c r="B11" s="31">
        <f>'CBB+PP'!C10</f>
        <v>0</v>
      </c>
      <c r="C11" s="11">
        <f>'CBB+PP'!D10</f>
        <v>0</v>
      </c>
      <c r="D11" s="31" t="str">
        <f>IFERROR('CBB+PP'!F10&amp;"×"&amp;'CBB+PP'!G10&amp;"×"&amp;'CBB+PP'!H10,"")</f>
        <v>××</v>
      </c>
      <c r="E11" s="31">
        <f>'CBB+PP'!J10</f>
        <v>0</v>
      </c>
      <c r="F11" s="31">
        <f>'CBB+PP'!S10</f>
        <v>0</v>
      </c>
      <c r="G11" s="89">
        <f>'CBB+PP'!U10</f>
        <v>0</v>
      </c>
      <c r="H11" s="31">
        <f>'CBB+PP'!W10</f>
        <v>0</v>
      </c>
      <c r="I11" s="68" t="str">
        <f>'CBB+PP'!BQ10</f>
        <v/>
      </c>
      <c r="J11" s="87" t="str">
        <f>'CBB+PP'!BT10</f>
        <v/>
      </c>
    </row>
    <row r="12" spans="1:15" ht="15" customHeight="1" x14ac:dyDescent="0.45">
      <c r="A12" s="29" t="str">
        <f>'CBB+PP'!A11</f>
        <v/>
      </c>
      <c r="B12" s="29">
        <f>'CBB+PP'!C11</f>
        <v>0</v>
      </c>
      <c r="C12" s="6">
        <f>'CBB+PP'!D11</f>
        <v>0</v>
      </c>
      <c r="D12" s="29" t="str">
        <f>IFERROR('CBB+PP'!F11&amp;"×"&amp;'CBB+PP'!G11&amp;"×"&amp;'CBB+PP'!H11,"")</f>
        <v>××</v>
      </c>
      <c r="E12" s="29">
        <f>'CBB+PP'!J11</f>
        <v>0</v>
      </c>
      <c r="F12" s="29">
        <f>'CBB+PP'!S11</f>
        <v>0</v>
      </c>
      <c r="G12" s="88">
        <f>'CBB+PP'!U11</f>
        <v>0</v>
      </c>
      <c r="H12" s="29">
        <f>'CBB+PP'!W11</f>
        <v>0</v>
      </c>
      <c r="I12" s="67" t="str">
        <f>'CBB+PP'!BQ11</f>
        <v/>
      </c>
      <c r="J12" s="20" t="str">
        <f>'CBB+PP'!BT11</f>
        <v/>
      </c>
    </row>
    <row r="13" spans="1:15" ht="15" customHeight="1" x14ac:dyDescent="0.45">
      <c r="A13" s="31" t="str">
        <f>'CBB+PP'!A12</f>
        <v/>
      </c>
      <c r="B13" s="31">
        <f>'CBB+PP'!C12</f>
        <v>0</v>
      </c>
      <c r="C13" s="11">
        <f>'CBB+PP'!D12</f>
        <v>0</v>
      </c>
      <c r="D13" s="31" t="str">
        <f>IFERROR('CBB+PP'!F12&amp;"×"&amp;'CBB+PP'!G12&amp;"×"&amp;'CBB+PP'!H12,"")</f>
        <v>××</v>
      </c>
      <c r="E13" s="31">
        <f>'CBB+PP'!J12</f>
        <v>0</v>
      </c>
      <c r="F13" s="31">
        <f>'CBB+PP'!S12</f>
        <v>0</v>
      </c>
      <c r="G13" s="89">
        <f>'CBB+PP'!U12</f>
        <v>0</v>
      </c>
      <c r="H13" s="31">
        <f>'CBB+PP'!W12</f>
        <v>0</v>
      </c>
      <c r="I13" s="68" t="str">
        <f>'CBB+PP'!BQ12</f>
        <v/>
      </c>
      <c r="J13" s="87" t="str">
        <f>'CBB+PP'!BT12</f>
        <v/>
      </c>
      <c r="O13" s="76"/>
    </row>
    <row r="14" spans="1:15" ht="15" customHeight="1" x14ac:dyDescent="0.45">
      <c r="A14" s="29" t="str">
        <f>'CBB+PP'!A13</f>
        <v/>
      </c>
      <c r="B14" s="29">
        <f>'CBB+PP'!C13</f>
        <v>0</v>
      </c>
      <c r="C14" s="6">
        <f>'CBB+PP'!D13</f>
        <v>0</v>
      </c>
      <c r="D14" s="29" t="str">
        <f>IFERROR('CBB+PP'!F13&amp;"×"&amp;'CBB+PP'!G13&amp;"×"&amp;'CBB+PP'!H13,"")</f>
        <v>××</v>
      </c>
      <c r="E14" s="29">
        <f>'CBB+PP'!J13</f>
        <v>0</v>
      </c>
      <c r="F14" s="29">
        <f>'CBB+PP'!S13</f>
        <v>0</v>
      </c>
      <c r="G14" s="88">
        <f>'CBB+PP'!U13</f>
        <v>0</v>
      </c>
      <c r="H14" s="29">
        <f>'CBB+PP'!W13</f>
        <v>0</v>
      </c>
      <c r="I14" s="67" t="str">
        <f>'CBB+PP'!BQ13</f>
        <v/>
      </c>
      <c r="J14" s="20" t="str">
        <f>'CBB+PP'!BT13</f>
        <v/>
      </c>
      <c r="N14" s="77"/>
      <c r="O14" s="77"/>
    </row>
    <row r="15" spans="1:15" ht="15" customHeight="1" x14ac:dyDescent="0.45">
      <c r="A15" s="31" t="str">
        <f>'CBB+PP'!A14</f>
        <v/>
      </c>
      <c r="B15" s="31">
        <f>'CBB+PP'!C14</f>
        <v>0</v>
      </c>
      <c r="C15" s="11">
        <f>'CBB+PP'!D14</f>
        <v>0</v>
      </c>
      <c r="D15" s="31" t="str">
        <f>IFERROR('CBB+PP'!F14&amp;"×"&amp;'CBB+PP'!G14&amp;"×"&amp;'CBB+PP'!H14,"")</f>
        <v>××</v>
      </c>
      <c r="E15" s="31">
        <f>'CBB+PP'!J14</f>
        <v>0</v>
      </c>
      <c r="F15" s="31">
        <f>'CBB+PP'!S14</f>
        <v>0</v>
      </c>
      <c r="G15" s="89">
        <f>'CBB+PP'!U14</f>
        <v>0</v>
      </c>
      <c r="H15" s="31">
        <f>'CBB+PP'!W14</f>
        <v>0</v>
      </c>
      <c r="I15" s="68" t="str">
        <f>'CBB+PP'!BQ14</f>
        <v/>
      </c>
      <c r="J15" s="87" t="str">
        <f>'CBB+PP'!BT14</f>
        <v/>
      </c>
      <c r="N15" s="77"/>
      <c r="O15" s="77"/>
    </row>
    <row r="16" spans="1:15" ht="15" customHeight="1" x14ac:dyDescent="0.45">
      <c r="A16" s="29" t="str">
        <f>'CBB+PP'!A15</f>
        <v/>
      </c>
      <c r="B16" s="29">
        <f>'CBB+PP'!C15</f>
        <v>0</v>
      </c>
      <c r="C16" s="6">
        <f>'CBB+PP'!D15</f>
        <v>0</v>
      </c>
      <c r="D16" s="29" t="str">
        <f>IFERROR('CBB+PP'!F15&amp;"×"&amp;'CBB+PP'!G15&amp;"×"&amp;'CBB+PP'!H15,"")</f>
        <v>××</v>
      </c>
      <c r="E16" s="29">
        <f>'CBB+PP'!J15</f>
        <v>0</v>
      </c>
      <c r="F16" s="29">
        <f>'CBB+PP'!S15</f>
        <v>0</v>
      </c>
      <c r="G16" s="88">
        <f>'CBB+PP'!U15</f>
        <v>0</v>
      </c>
      <c r="H16" s="29">
        <f>'CBB+PP'!W15</f>
        <v>0</v>
      </c>
      <c r="I16" s="67" t="str">
        <f>'CBB+PP'!BQ15</f>
        <v/>
      </c>
      <c r="J16" s="20" t="str">
        <f>'CBB+PP'!BT15</f>
        <v/>
      </c>
      <c r="N16" s="77"/>
      <c r="O16" s="77"/>
    </row>
    <row r="17" spans="1:15" ht="15" customHeight="1" x14ac:dyDescent="0.45">
      <c r="A17" s="31" t="str">
        <f>'CBB+PP'!A16</f>
        <v/>
      </c>
      <c r="B17" s="31">
        <f>'CBB+PP'!C16</f>
        <v>0</v>
      </c>
      <c r="C17" s="11">
        <f>'CBB+PP'!D16</f>
        <v>0</v>
      </c>
      <c r="D17" s="31" t="str">
        <f>IFERROR('CBB+PP'!F16&amp;"×"&amp;'CBB+PP'!G16&amp;"×"&amp;'CBB+PP'!H16,"")</f>
        <v>××</v>
      </c>
      <c r="E17" s="31">
        <f>'CBB+PP'!J16</f>
        <v>0</v>
      </c>
      <c r="F17" s="31">
        <f>'CBB+PP'!S16</f>
        <v>0</v>
      </c>
      <c r="G17" s="89">
        <f>'CBB+PP'!U16</f>
        <v>0</v>
      </c>
      <c r="H17" s="31">
        <f>'CBB+PP'!W16</f>
        <v>0</v>
      </c>
      <c r="I17" s="68" t="str">
        <f>'CBB+PP'!BQ16</f>
        <v/>
      </c>
      <c r="J17" s="87" t="str">
        <f>'CBB+PP'!BT16</f>
        <v/>
      </c>
      <c r="N17" s="77"/>
      <c r="O17" s="77"/>
    </row>
    <row r="18" spans="1:15" ht="15" customHeight="1" x14ac:dyDescent="0.45">
      <c r="A18" s="29" t="str">
        <f>'CBB+PP'!A17</f>
        <v/>
      </c>
      <c r="B18" s="29">
        <f>'CBB+PP'!C17</f>
        <v>0</v>
      </c>
      <c r="C18" s="6">
        <f>'CBB+PP'!D17</f>
        <v>0</v>
      </c>
      <c r="D18" s="29" t="str">
        <f>IFERROR('CBB+PP'!F17&amp;"×"&amp;'CBB+PP'!G17&amp;"×"&amp;'CBB+PP'!H17,"")</f>
        <v>××</v>
      </c>
      <c r="E18" s="29">
        <f>'CBB+PP'!J17</f>
        <v>0</v>
      </c>
      <c r="F18" s="29">
        <f>'CBB+PP'!S17</f>
        <v>0</v>
      </c>
      <c r="G18" s="88">
        <f>'CBB+PP'!U17</f>
        <v>0</v>
      </c>
      <c r="H18" s="29">
        <f>'CBB+PP'!W17</f>
        <v>0</v>
      </c>
      <c r="I18" s="67" t="str">
        <f>'CBB+PP'!BQ17</f>
        <v/>
      </c>
      <c r="J18" s="20" t="str">
        <f>'CBB+PP'!BT17</f>
        <v/>
      </c>
      <c r="N18" s="77"/>
      <c r="O18" s="77"/>
    </row>
    <row r="19" spans="1:15" ht="15" customHeight="1" x14ac:dyDescent="0.45">
      <c r="A19" s="31" t="str">
        <f>'CBB+PP'!A18</f>
        <v/>
      </c>
      <c r="B19" s="31">
        <f>'CBB+PP'!C18</f>
        <v>0</v>
      </c>
      <c r="C19" s="11">
        <f>'CBB+PP'!D18</f>
        <v>0</v>
      </c>
      <c r="D19" s="31" t="str">
        <f>IFERROR('CBB+PP'!F18&amp;"×"&amp;'CBB+PP'!G18&amp;"×"&amp;'CBB+PP'!H18,"")</f>
        <v>××</v>
      </c>
      <c r="E19" s="31">
        <f>'CBB+PP'!J18</f>
        <v>0</v>
      </c>
      <c r="F19" s="31">
        <f>'CBB+PP'!S18</f>
        <v>0</v>
      </c>
      <c r="G19" s="89">
        <f>'CBB+PP'!U18</f>
        <v>0</v>
      </c>
      <c r="H19" s="31">
        <f>'CBB+PP'!W18</f>
        <v>0</v>
      </c>
      <c r="I19" s="68" t="str">
        <f>'CBB+PP'!BQ18</f>
        <v/>
      </c>
      <c r="J19" s="87" t="str">
        <f>'CBB+PP'!BT18</f>
        <v/>
      </c>
      <c r="N19" s="77"/>
      <c r="O19" s="77"/>
    </row>
    <row r="20" spans="1:15" ht="15" customHeight="1" x14ac:dyDescent="0.45">
      <c r="A20" s="29" t="str">
        <f>'CBB+PP'!A19</f>
        <v/>
      </c>
      <c r="B20" s="29">
        <f>'CBB+PP'!C19</f>
        <v>0</v>
      </c>
      <c r="C20" s="6">
        <f>'CBB+PP'!D19</f>
        <v>0</v>
      </c>
      <c r="D20" s="29" t="str">
        <f>IFERROR('CBB+PP'!F19&amp;"×"&amp;'CBB+PP'!G19&amp;"×"&amp;'CBB+PP'!H19,"")</f>
        <v>××</v>
      </c>
      <c r="E20" s="29">
        <f>'CBB+PP'!J19</f>
        <v>0</v>
      </c>
      <c r="F20" s="29">
        <f>'CBB+PP'!S19</f>
        <v>0</v>
      </c>
      <c r="G20" s="88">
        <f>'CBB+PP'!U19</f>
        <v>0</v>
      </c>
      <c r="H20" s="29">
        <f>'CBB+PP'!W19</f>
        <v>0</v>
      </c>
      <c r="I20" s="67" t="str">
        <f>'CBB+PP'!BQ19</f>
        <v/>
      </c>
      <c r="J20" s="20" t="str">
        <f>'CBB+PP'!BT19</f>
        <v/>
      </c>
      <c r="N20" s="77"/>
      <c r="O20" s="77"/>
    </row>
    <row r="21" spans="1:15" ht="15" customHeight="1" x14ac:dyDescent="0.45">
      <c r="A21" s="31" t="str">
        <f>'CBB+PP'!A20</f>
        <v/>
      </c>
      <c r="B21" s="31">
        <f>'CBB+PP'!C20</f>
        <v>0</v>
      </c>
      <c r="C21" s="11">
        <f>'CBB+PP'!D20</f>
        <v>0</v>
      </c>
      <c r="D21" s="31" t="str">
        <f>IFERROR('CBB+PP'!F20&amp;"×"&amp;'CBB+PP'!G20&amp;"×"&amp;'CBB+PP'!H20,"")</f>
        <v>××</v>
      </c>
      <c r="E21" s="31">
        <f>'CBB+PP'!J20</f>
        <v>0</v>
      </c>
      <c r="F21" s="31">
        <f>'CBB+PP'!S20</f>
        <v>0</v>
      </c>
      <c r="G21" s="89">
        <f>'CBB+PP'!U20</f>
        <v>0</v>
      </c>
      <c r="H21" s="31">
        <f>'CBB+PP'!W20</f>
        <v>0</v>
      </c>
      <c r="I21" s="68" t="str">
        <f>'CBB+PP'!BQ20</f>
        <v/>
      </c>
      <c r="J21" s="87" t="str">
        <f>'CBB+PP'!BT20</f>
        <v/>
      </c>
    </row>
    <row r="22" spans="1:15" ht="15" customHeight="1" x14ac:dyDescent="0.45">
      <c r="A22" s="29" t="str">
        <f>'CBB+PP'!A21</f>
        <v/>
      </c>
      <c r="B22" s="29">
        <f>'CBB+PP'!C21</f>
        <v>0</v>
      </c>
      <c r="C22" s="6">
        <f>'CBB+PP'!D21</f>
        <v>0</v>
      </c>
      <c r="D22" s="29" t="str">
        <f>IFERROR('CBB+PP'!F21&amp;"×"&amp;'CBB+PP'!G21&amp;"×"&amp;'CBB+PP'!H21,"")</f>
        <v>××</v>
      </c>
      <c r="E22" s="29">
        <f>'CBB+PP'!J21</f>
        <v>0</v>
      </c>
      <c r="F22" s="29">
        <f>'CBB+PP'!S21</f>
        <v>0</v>
      </c>
      <c r="G22" s="88">
        <f>'CBB+PP'!U21</f>
        <v>0</v>
      </c>
      <c r="H22" s="29">
        <f>'CBB+PP'!W21</f>
        <v>0</v>
      </c>
      <c r="I22" s="67" t="str">
        <f>'CBB+PP'!BQ21</f>
        <v/>
      </c>
      <c r="J22" s="20" t="str">
        <f>'CBB+PP'!BT21</f>
        <v/>
      </c>
    </row>
    <row r="23" spans="1:15" ht="15" customHeight="1" x14ac:dyDescent="0.45">
      <c r="A23" s="31" t="str">
        <f>'CBB+PP'!A22</f>
        <v/>
      </c>
      <c r="B23" s="31">
        <f>'CBB+PP'!C22</f>
        <v>0</v>
      </c>
      <c r="C23" s="11">
        <f>'CBB+PP'!D22</f>
        <v>0</v>
      </c>
      <c r="D23" s="31" t="str">
        <f>IFERROR('CBB+PP'!F22&amp;"×"&amp;'CBB+PP'!G22&amp;"×"&amp;'CBB+PP'!H22,"")</f>
        <v>××</v>
      </c>
      <c r="E23" s="31">
        <f>'CBB+PP'!J22</f>
        <v>0</v>
      </c>
      <c r="F23" s="31">
        <f>'CBB+PP'!S22</f>
        <v>0</v>
      </c>
      <c r="G23" s="89">
        <f>'CBB+PP'!U22</f>
        <v>0</v>
      </c>
      <c r="H23" s="31">
        <f>'CBB+PP'!W22</f>
        <v>0</v>
      </c>
      <c r="I23" s="68" t="str">
        <f>'CBB+PP'!BQ22</f>
        <v/>
      </c>
      <c r="J23" s="87" t="str">
        <f>'CBB+PP'!BT22</f>
        <v/>
      </c>
    </row>
    <row r="24" spans="1:15" ht="15" customHeight="1" x14ac:dyDescent="0.45">
      <c r="A24" s="29" t="str">
        <f>'CBB+PP'!A23</f>
        <v/>
      </c>
      <c r="B24" s="29">
        <f>'CBB+PP'!C23</f>
        <v>0</v>
      </c>
      <c r="C24" s="6">
        <f>'CBB+PP'!D23</f>
        <v>0</v>
      </c>
      <c r="D24" s="29" t="str">
        <f>IFERROR('CBB+PP'!F23&amp;"×"&amp;'CBB+PP'!G23&amp;"×"&amp;'CBB+PP'!H23,"")</f>
        <v>××</v>
      </c>
      <c r="E24" s="29">
        <f>'CBB+PP'!J23</f>
        <v>0</v>
      </c>
      <c r="F24" s="29">
        <f>'CBB+PP'!S23</f>
        <v>0</v>
      </c>
      <c r="G24" s="88">
        <f>'CBB+PP'!U23</f>
        <v>0</v>
      </c>
      <c r="H24" s="29">
        <f>'CBB+PP'!W23</f>
        <v>0</v>
      </c>
      <c r="I24" s="67" t="str">
        <f>'CBB+PP'!BQ23</f>
        <v/>
      </c>
      <c r="J24" s="20" t="str">
        <f>'CBB+PP'!BT23</f>
        <v/>
      </c>
    </row>
    <row r="25" spans="1:15" ht="15" customHeight="1" x14ac:dyDescent="0.45">
      <c r="A25" s="31" t="str">
        <f>'CBB+PP'!A24</f>
        <v/>
      </c>
      <c r="B25" s="31">
        <f>'CBB+PP'!C24</f>
        <v>0</v>
      </c>
      <c r="C25" s="11">
        <f>'CBB+PP'!D24</f>
        <v>0</v>
      </c>
      <c r="D25" s="31" t="str">
        <f>IFERROR('CBB+PP'!F24&amp;"×"&amp;'CBB+PP'!G24&amp;"×"&amp;'CBB+PP'!H24,"")</f>
        <v>××</v>
      </c>
      <c r="E25" s="31">
        <f>'CBB+PP'!J24</f>
        <v>0</v>
      </c>
      <c r="F25" s="31">
        <f>'CBB+PP'!S24</f>
        <v>0</v>
      </c>
      <c r="G25" s="89">
        <f>'CBB+PP'!U24</f>
        <v>0</v>
      </c>
      <c r="H25" s="31">
        <f>'CBB+PP'!W24</f>
        <v>0</v>
      </c>
      <c r="I25" s="68" t="str">
        <f>'CBB+PP'!BQ24</f>
        <v/>
      </c>
      <c r="J25" s="87" t="str">
        <f>'CBB+PP'!BT24</f>
        <v/>
      </c>
    </row>
    <row r="26" spans="1:15" ht="15" customHeight="1" x14ac:dyDescent="0.45">
      <c r="A26" s="29" t="str">
        <f>'CBB+PP'!A25</f>
        <v/>
      </c>
      <c r="B26" s="29">
        <f>'CBB+PP'!C25</f>
        <v>0</v>
      </c>
      <c r="C26" s="6">
        <f>'CBB+PP'!D25</f>
        <v>0</v>
      </c>
      <c r="D26" s="29" t="str">
        <f>IFERROR('CBB+PP'!F25&amp;"×"&amp;'CBB+PP'!G25&amp;"×"&amp;'CBB+PP'!H25,"")</f>
        <v>××</v>
      </c>
      <c r="E26" s="29">
        <f>'CBB+PP'!J25</f>
        <v>0</v>
      </c>
      <c r="F26" s="29">
        <f>'CBB+PP'!S25</f>
        <v>0</v>
      </c>
      <c r="G26" s="88">
        <f>'CBB+PP'!U25</f>
        <v>0</v>
      </c>
      <c r="H26" s="29">
        <f>'CBB+PP'!W25</f>
        <v>0</v>
      </c>
      <c r="I26" s="67" t="str">
        <f>'CBB+PP'!BQ25</f>
        <v/>
      </c>
      <c r="J26" s="20" t="str">
        <f>'CBB+PP'!BT25</f>
        <v/>
      </c>
    </row>
    <row r="27" spans="1:15" ht="15" customHeight="1" x14ac:dyDescent="0.45">
      <c r="A27" s="31" t="str">
        <f>'CBB+PP'!A26</f>
        <v/>
      </c>
      <c r="B27" s="31">
        <f>'CBB+PP'!C26</f>
        <v>0</v>
      </c>
      <c r="C27" s="11">
        <f>'CBB+PP'!D26</f>
        <v>0</v>
      </c>
      <c r="D27" s="31" t="str">
        <f>IFERROR('CBB+PP'!F26&amp;"×"&amp;'CBB+PP'!G26&amp;"×"&amp;'CBB+PP'!H26,"")</f>
        <v>××</v>
      </c>
      <c r="E27" s="31">
        <f>'CBB+PP'!J26</f>
        <v>0</v>
      </c>
      <c r="F27" s="31">
        <f>'CBB+PP'!S26</f>
        <v>0</v>
      </c>
      <c r="G27" s="89">
        <f>'CBB+PP'!U26</f>
        <v>0</v>
      </c>
      <c r="H27" s="31">
        <f>'CBB+PP'!W26</f>
        <v>0</v>
      </c>
      <c r="I27" s="68" t="str">
        <f>'CBB+PP'!BQ26</f>
        <v/>
      </c>
      <c r="J27" s="87" t="str">
        <f>'CBB+PP'!BT26</f>
        <v/>
      </c>
    </row>
    <row r="28" spans="1:15" ht="15" customHeight="1" x14ac:dyDescent="0.45">
      <c r="A28" s="29" t="str">
        <f>'CBB+PP'!A27</f>
        <v/>
      </c>
      <c r="B28" s="29">
        <f>'CBB+PP'!C27</f>
        <v>0</v>
      </c>
      <c r="C28" s="6">
        <f>'CBB+PP'!D27</f>
        <v>0</v>
      </c>
      <c r="D28" s="29" t="str">
        <f>IFERROR('CBB+PP'!F27&amp;"×"&amp;'CBB+PP'!G27&amp;"×"&amp;'CBB+PP'!H27,"")</f>
        <v>××</v>
      </c>
      <c r="E28" s="29">
        <f>'CBB+PP'!J27</f>
        <v>0</v>
      </c>
      <c r="F28" s="29">
        <f>'CBB+PP'!S27</f>
        <v>0</v>
      </c>
      <c r="G28" s="88">
        <f>'CBB+PP'!U27</f>
        <v>0</v>
      </c>
      <c r="H28" s="29">
        <f>'CBB+PP'!W27</f>
        <v>0</v>
      </c>
      <c r="I28" s="67" t="str">
        <f>'CBB+PP'!BQ27</f>
        <v/>
      </c>
      <c r="J28" s="20" t="str">
        <f>'CBB+PP'!BT27</f>
        <v/>
      </c>
    </row>
    <row r="29" spans="1:15" ht="15" customHeight="1" x14ac:dyDescent="0.45">
      <c r="A29" s="31" t="str">
        <f>'CBB+PP'!A28</f>
        <v/>
      </c>
      <c r="B29" s="31">
        <f>'CBB+PP'!C28</f>
        <v>0</v>
      </c>
      <c r="C29" s="11">
        <f>'CBB+PP'!D28</f>
        <v>0</v>
      </c>
      <c r="D29" s="31" t="str">
        <f>IFERROR('CBB+PP'!F28&amp;"×"&amp;'CBB+PP'!G28&amp;"×"&amp;'CBB+PP'!H28,"")</f>
        <v>××</v>
      </c>
      <c r="E29" s="31">
        <f>'CBB+PP'!J28</f>
        <v>0</v>
      </c>
      <c r="F29" s="31">
        <f>'CBB+PP'!S28</f>
        <v>0</v>
      </c>
      <c r="G29" s="89">
        <f>'CBB+PP'!U28</f>
        <v>0</v>
      </c>
      <c r="H29" s="31">
        <f>'CBB+PP'!W28</f>
        <v>0</v>
      </c>
      <c r="I29" s="68" t="str">
        <f>'CBB+PP'!BQ28</f>
        <v/>
      </c>
      <c r="J29" s="87" t="str">
        <f>'CBB+PP'!BT28</f>
        <v/>
      </c>
    </row>
    <row r="30" spans="1:15" ht="15" customHeight="1" x14ac:dyDescent="0.45">
      <c r="A30" s="29" t="str">
        <f>'CBB+PP'!A29</f>
        <v/>
      </c>
      <c r="B30" s="29">
        <f>'CBB+PP'!C29</f>
        <v>0</v>
      </c>
      <c r="C30" s="6">
        <f>'CBB+PP'!D29</f>
        <v>0</v>
      </c>
      <c r="D30" s="29" t="str">
        <f>IFERROR('CBB+PP'!F29&amp;"×"&amp;'CBB+PP'!G29&amp;"×"&amp;'CBB+PP'!H29,"")</f>
        <v>××</v>
      </c>
      <c r="E30" s="29">
        <f>'CBB+PP'!J29</f>
        <v>0</v>
      </c>
      <c r="F30" s="29">
        <f>'CBB+PP'!S29</f>
        <v>0</v>
      </c>
      <c r="G30" s="88">
        <f>'CBB+PP'!U29</f>
        <v>0</v>
      </c>
      <c r="H30" s="29">
        <f>'CBB+PP'!W29</f>
        <v>0</v>
      </c>
      <c r="I30" s="67" t="str">
        <f>'CBB+PP'!BQ29</f>
        <v/>
      </c>
      <c r="J30" s="20" t="str">
        <f>'CBB+PP'!BT29</f>
        <v/>
      </c>
    </row>
    <row r="31" spans="1:15" ht="15" customHeight="1" x14ac:dyDescent="0.45">
      <c r="A31" s="31" t="str">
        <f>'CBB+PP'!A30</f>
        <v/>
      </c>
      <c r="B31" s="31">
        <f>'CBB+PP'!C30</f>
        <v>0</v>
      </c>
      <c r="C31" s="11">
        <f>'CBB+PP'!D30</f>
        <v>0</v>
      </c>
      <c r="D31" s="31" t="str">
        <f>IFERROR('CBB+PP'!F30&amp;"×"&amp;'CBB+PP'!G30&amp;"×"&amp;'CBB+PP'!H30,"")</f>
        <v>××</v>
      </c>
      <c r="E31" s="31">
        <f>'CBB+PP'!J30</f>
        <v>0</v>
      </c>
      <c r="F31" s="31">
        <f>'CBB+PP'!S30</f>
        <v>0</v>
      </c>
      <c r="G31" s="89">
        <f>'CBB+PP'!U30</f>
        <v>0</v>
      </c>
      <c r="H31" s="31">
        <f>'CBB+PP'!W30</f>
        <v>0</v>
      </c>
      <c r="I31" s="68" t="str">
        <f>'CBB+PP'!BQ30</f>
        <v/>
      </c>
      <c r="J31" s="87" t="str">
        <f>'CBB+PP'!BT30</f>
        <v/>
      </c>
    </row>
    <row r="32" spans="1:15" ht="15" customHeight="1" x14ac:dyDescent="0.45">
      <c r="A32" s="29" t="str">
        <f>'CBB+PP'!A31</f>
        <v/>
      </c>
      <c r="B32" s="29">
        <f>'CBB+PP'!C31</f>
        <v>0</v>
      </c>
      <c r="C32" s="6">
        <f>'CBB+PP'!D31</f>
        <v>0</v>
      </c>
      <c r="D32" s="29" t="str">
        <f>IFERROR('CBB+PP'!F31&amp;"×"&amp;'CBB+PP'!G31&amp;"×"&amp;'CBB+PP'!H31,"")</f>
        <v>××</v>
      </c>
      <c r="E32" s="29">
        <f>'CBB+PP'!J31</f>
        <v>0</v>
      </c>
      <c r="F32" s="29">
        <f>'CBB+PP'!S31</f>
        <v>0</v>
      </c>
      <c r="G32" s="88">
        <f>'CBB+PP'!U31</f>
        <v>0</v>
      </c>
      <c r="H32" s="29">
        <f>'CBB+PP'!W31</f>
        <v>0</v>
      </c>
      <c r="I32" s="67" t="str">
        <f>'CBB+PP'!BQ31</f>
        <v/>
      </c>
      <c r="J32" s="20" t="str">
        <f>'CBB+PP'!BT31</f>
        <v/>
      </c>
    </row>
    <row r="33" spans="1:10" ht="15" customHeight="1" x14ac:dyDescent="0.45">
      <c r="A33" s="31" t="str">
        <f>'CBB+PP'!A32</f>
        <v/>
      </c>
      <c r="B33" s="31">
        <f>'CBB+PP'!C32</f>
        <v>0</v>
      </c>
      <c r="C33" s="11">
        <f>'CBB+PP'!D32</f>
        <v>0</v>
      </c>
      <c r="D33" s="31" t="str">
        <f>IFERROR('CBB+PP'!F32&amp;"×"&amp;'CBB+PP'!G32&amp;"×"&amp;'CBB+PP'!H32,"")</f>
        <v>××</v>
      </c>
      <c r="E33" s="31">
        <f>'CBB+PP'!J32</f>
        <v>0</v>
      </c>
      <c r="F33" s="31">
        <f>'CBB+PP'!S32</f>
        <v>0</v>
      </c>
      <c r="G33" s="89">
        <f>'CBB+PP'!U32</f>
        <v>0</v>
      </c>
      <c r="H33" s="31">
        <f>'CBB+PP'!W32</f>
        <v>0</v>
      </c>
      <c r="I33" s="68" t="str">
        <f>'CBB+PP'!BQ32</f>
        <v/>
      </c>
      <c r="J33" s="87" t="str">
        <f>'CBB+PP'!BT32</f>
        <v/>
      </c>
    </row>
    <row r="34" spans="1:10" ht="15" customHeight="1" x14ac:dyDescent="0.45">
      <c r="A34" s="29" t="str">
        <f>'CBB+PP'!A33</f>
        <v/>
      </c>
      <c r="B34" s="29">
        <f>'CBB+PP'!C33</f>
        <v>0</v>
      </c>
      <c r="C34" s="6">
        <f>'CBB+PP'!D33</f>
        <v>0</v>
      </c>
      <c r="D34" s="29" t="str">
        <f>IFERROR('CBB+PP'!F33&amp;"×"&amp;'CBB+PP'!G33&amp;"×"&amp;'CBB+PP'!H33,"")</f>
        <v>××</v>
      </c>
      <c r="E34" s="29">
        <f>'CBB+PP'!J33</f>
        <v>0</v>
      </c>
      <c r="F34" s="29">
        <f>'CBB+PP'!S33</f>
        <v>0</v>
      </c>
      <c r="G34" s="88">
        <f>'CBB+PP'!U33</f>
        <v>0</v>
      </c>
      <c r="H34" s="29">
        <f>'CBB+PP'!W33</f>
        <v>0</v>
      </c>
      <c r="I34" s="67" t="str">
        <f>'CBB+PP'!BQ33</f>
        <v/>
      </c>
      <c r="J34" s="20" t="str">
        <f>'CBB+PP'!BT33</f>
        <v/>
      </c>
    </row>
    <row r="35" spans="1:10" ht="15" customHeight="1" x14ac:dyDescent="0.45">
      <c r="A35" s="31" t="str">
        <f>'CBB+PP'!A34</f>
        <v/>
      </c>
      <c r="B35" s="31">
        <f>'CBB+PP'!C34</f>
        <v>0</v>
      </c>
      <c r="C35" s="11">
        <f>'CBB+PP'!D34</f>
        <v>0</v>
      </c>
      <c r="D35" s="31" t="str">
        <f>IFERROR('CBB+PP'!F34&amp;"×"&amp;'CBB+PP'!G34&amp;"×"&amp;'CBB+PP'!H34,"")</f>
        <v>××</v>
      </c>
      <c r="E35" s="31">
        <f>'CBB+PP'!J34</f>
        <v>0</v>
      </c>
      <c r="F35" s="31">
        <f>'CBB+PP'!S34</f>
        <v>0</v>
      </c>
      <c r="G35" s="89">
        <f>'CBB+PP'!U34</f>
        <v>0</v>
      </c>
      <c r="H35" s="31">
        <f>'CBB+PP'!W34</f>
        <v>0</v>
      </c>
      <c r="I35" s="68" t="str">
        <f>'CBB+PP'!BQ34</f>
        <v/>
      </c>
      <c r="J35" s="87" t="str">
        <f>'CBB+PP'!BT34</f>
        <v/>
      </c>
    </row>
    <row r="36" spans="1:10" ht="15" customHeight="1" x14ac:dyDescent="0.45">
      <c r="A36" s="29" t="str">
        <f>'CBB+PP'!A35</f>
        <v/>
      </c>
      <c r="B36" s="29">
        <f>'CBB+PP'!C35</f>
        <v>0</v>
      </c>
      <c r="C36" s="6">
        <f>'CBB+PP'!D35</f>
        <v>0</v>
      </c>
      <c r="D36" s="29" t="str">
        <f>IFERROR('CBB+PP'!F35&amp;"×"&amp;'CBB+PP'!G35&amp;"×"&amp;'CBB+PP'!H35,"")</f>
        <v>××</v>
      </c>
      <c r="E36" s="29">
        <f>'CBB+PP'!J35</f>
        <v>0</v>
      </c>
      <c r="F36" s="29">
        <f>'CBB+PP'!S35</f>
        <v>0</v>
      </c>
      <c r="G36" s="88">
        <f>'CBB+PP'!U35</f>
        <v>0</v>
      </c>
      <c r="H36" s="29">
        <f>'CBB+PP'!W35</f>
        <v>0</v>
      </c>
      <c r="I36" s="67" t="str">
        <f>'CBB+PP'!BQ35</f>
        <v/>
      </c>
      <c r="J36" s="20" t="str">
        <f>'CBB+PP'!BT35</f>
        <v/>
      </c>
    </row>
    <row r="37" spans="1:10" ht="15" customHeight="1" x14ac:dyDescent="0.45">
      <c r="A37" s="31" t="str">
        <f>'CBB+PP'!A36</f>
        <v/>
      </c>
      <c r="B37" s="31">
        <f>'CBB+PP'!C36</f>
        <v>0</v>
      </c>
      <c r="C37" s="11">
        <f>'CBB+PP'!D36</f>
        <v>0</v>
      </c>
      <c r="D37" s="31" t="str">
        <f>IFERROR('CBB+PP'!F36&amp;"×"&amp;'CBB+PP'!G36&amp;"×"&amp;'CBB+PP'!H36,"")</f>
        <v>××</v>
      </c>
      <c r="E37" s="31">
        <f>'CBB+PP'!J36</f>
        <v>0</v>
      </c>
      <c r="F37" s="31">
        <f>'CBB+PP'!S36</f>
        <v>0</v>
      </c>
      <c r="G37" s="89">
        <f>'CBB+PP'!U36</f>
        <v>0</v>
      </c>
      <c r="H37" s="31">
        <f>'CBB+PP'!W36</f>
        <v>0</v>
      </c>
      <c r="I37" s="68" t="str">
        <f>'CBB+PP'!BQ36</f>
        <v/>
      </c>
      <c r="J37" s="87" t="str">
        <f>'CBB+PP'!BT36</f>
        <v/>
      </c>
    </row>
    <row r="39" spans="1:10" ht="15" customHeight="1" x14ac:dyDescent="0.45">
      <c r="A39" s="111" t="s">
        <v>336</v>
      </c>
      <c r="B39" s="101"/>
      <c r="C39" s="101"/>
      <c r="D39" s="101"/>
      <c r="E39" s="101"/>
      <c r="F39" s="101"/>
      <c r="G39" s="101"/>
      <c r="H39" s="101"/>
      <c r="I39" s="101"/>
      <c r="J39" s="101"/>
    </row>
    <row r="40" spans="1:10" ht="15" customHeight="1" x14ac:dyDescent="0.45">
      <c r="A40" s="109" t="s">
        <v>337</v>
      </c>
      <c r="B40" s="101"/>
      <c r="C40" s="101"/>
      <c r="D40" s="101"/>
      <c r="E40" s="101"/>
      <c r="F40" s="101"/>
      <c r="G40" s="101"/>
      <c r="H40" s="101"/>
      <c r="I40" s="101"/>
      <c r="J40" s="101"/>
    </row>
    <row r="41" spans="1:10" ht="15" customHeight="1" x14ac:dyDescent="0.45">
      <c r="A41" s="109" t="s">
        <v>338</v>
      </c>
      <c r="B41" s="101"/>
      <c r="C41" s="101"/>
      <c r="D41" s="101"/>
      <c r="E41" s="101"/>
      <c r="F41" s="101"/>
      <c r="G41" s="101"/>
      <c r="H41" s="101"/>
      <c r="I41" s="101"/>
      <c r="J41" s="101"/>
    </row>
    <row r="42" spans="1:10" ht="15" customHeight="1" x14ac:dyDescent="0.45">
      <c r="A42" s="109" t="s">
        <v>339</v>
      </c>
      <c r="B42" s="101"/>
      <c r="C42" s="101"/>
      <c r="D42" s="101"/>
      <c r="E42" s="101"/>
      <c r="F42" s="101"/>
      <c r="G42" s="101"/>
      <c r="H42" s="101"/>
      <c r="I42" s="101"/>
      <c r="J42" s="101"/>
    </row>
    <row r="43" spans="1:10" ht="15" customHeight="1" x14ac:dyDescent="0.45">
      <c r="A43" s="109" t="s">
        <v>340</v>
      </c>
      <c r="B43" s="101"/>
      <c r="C43" s="101"/>
      <c r="D43" s="101"/>
      <c r="E43" s="101"/>
      <c r="F43" s="101"/>
      <c r="G43" s="101"/>
      <c r="H43" s="101"/>
      <c r="I43" s="101"/>
      <c r="J43" s="101"/>
    </row>
    <row r="44" spans="1:10" ht="15" customHeight="1" x14ac:dyDescent="0.45">
      <c r="A44" s="109" t="s">
        <v>341</v>
      </c>
      <c r="B44" s="101"/>
      <c r="C44" s="101"/>
      <c r="D44" s="101"/>
      <c r="E44" s="101"/>
      <c r="F44" s="101"/>
      <c r="G44" s="101"/>
      <c r="H44" s="101"/>
      <c r="I44" s="101"/>
      <c r="J44" s="101"/>
    </row>
    <row r="45" spans="1:10" ht="15" customHeight="1" x14ac:dyDescent="0.45">
      <c r="A45" s="109" t="s">
        <v>342</v>
      </c>
      <c r="B45" s="101"/>
      <c r="C45" s="101"/>
      <c r="D45" s="101"/>
      <c r="E45" s="101"/>
      <c r="F45" s="101"/>
      <c r="G45" s="101"/>
      <c r="H45" s="101"/>
      <c r="I45" s="101"/>
      <c r="J45" s="101"/>
    </row>
    <row r="46" spans="1:10" ht="15" customHeight="1" x14ac:dyDescent="0.45">
      <c r="A46" s="109" t="s">
        <v>343</v>
      </c>
      <c r="B46" s="101"/>
      <c r="C46" s="101"/>
      <c r="D46" s="101"/>
      <c r="E46" s="101"/>
      <c r="F46" s="101"/>
      <c r="G46" s="101"/>
      <c r="H46" s="101"/>
      <c r="I46" s="101"/>
      <c r="J46" s="101"/>
    </row>
  </sheetData>
  <mergeCells count="9">
    <mergeCell ref="A46:J46"/>
    <mergeCell ref="A44:J44"/>
    <mergeCell ref="A45:J45"/>
    <mergeCell ref="A1:J1"/>
    <mergeCell ref="A40:J40"/>
    <mergeCell ref="A39:J39"/>
    <mergeCell ref="A43:J43"/>
    <mergeCell ref="A41:J41"/>
    <mergeCell ref="A42:J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MASTER</vt:lpstr>
      <vt:lpstr>DEFAULTS</vt:lpstr>
      <vt:lpstr>CBB+PP</vt:lpstr>
      <vt:lpstr>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Nikunj Laddha</cp:lastModifiedBy>
  <cp:revision>0</cp:revision>
  <dcterms:created xsi:type="dcterms:W3CDTF">2026-07-30T03:08:01Z</dcterms:created>
  <dcterms:modified xsi:type="dcterms:W3CDTF">2026-09-19T10:43:00Z</dcterms:modified>
  <dc:language>en-US</dc:language>
</cp:coreProperties>
</file>